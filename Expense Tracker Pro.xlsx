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ransactions" sheetId="2" r:id="rId6"/>
    <sheet state="visible" name="Categories" sheetId="3" r:id="rId7"/>
    <sheet state="visible" name="Budget" sheetId="4" r:id="rId8"/>
    <sheet state="visible" name="Monthly" sheetId="5" r:id="rId9"/>
  </sheets>
  <definedNames/>
  <calcPr/>
</workbook>
</file>

<file path=xl/sharedStrings.xml><?xml version="1.0" encoding="utf-8"?>
<sst xmlns="http://schemas.openxmlformats.org/spreadsheetml/2006/main" count="309" uniqueCount="208">
  <si>
    <t>EXPENSE TRACKER  |  FINANCIAL COMMAND CENTER</t>
  </si>
  <si>
    <t>Real-time insights into your income, spending, savings, and budget performance</t>
  </si>
  <si>
    <t xml:space="preserve">  TOTAL INCOME</t>
  </si>
  <si>
    <t xml:space="preserve">  TOTAL EXPENSES</t>
  </si>
  <si>
    <t xml:space="preserve">  NET SAVINGS</t>
  </si>
  <si>
    <t xml:space="preserve">  SAVINGS RATE</t>
  </si>
  <si>
    <t xml:space="preserve">  ▲ All Income Sources</t>
  </si>
  <si>
    <t xml:space="preserve">  ▼ All Categories</t>
  </si>
  <si>
    <t xml:space="preserve">  ● Income − Expenses</t>
  </si>
  <si>
    <t xml:space="preserve">  % of Income Saved</t>
  </si>
  <si>
    <t xml:space="preserve">  BUDGET UTILIZATION</t>
  </si>
  <si>
    <t xml:space="preserve">  AVG DAILY SPEND</t>
  </si>
  <si>
    <t xml:space="preserve">  TOP SPEND CATEGORY</t>
  </si>
  <si>
    <t xml:space="preserve">  TRANSACTIONS</t>
  </si>
  <si>
    <t xml:space="preserve">  Of Total Monthly Budget</t>
  </si>
  <si>
    <t xml:space="preserve">  Based on 30 Days</t>
  </si>
  <si>
    <t xml:space="preserve">  Total Logged Entries</t>
  </si>
  <si>
    <t xml:space="preserve">  SPENDING BY CATEGORY</t>
  </si>
  <si>
    <t xml:space="preserve">  MONTHLY TREND</t>
  </si>
  <si>
    <t>Category</t>
  </si>
  <si>
    <t>Budget</t>
  </si>
  <si>
    <t>Actual</t>
  </si>
  <si>
    <t>% Used</t>
  </si>
  <si>
    <t>Month</t>
  </si>
  <si>
    <t>Income</t>
  </si>
  <si>
    <t>Expenses</t>
  </si>
  <si>
    <t>Savings</t>
  </si>
  <si>
    <t>Save %</t>
  </si>
  <si>
    <t>TOTAL</t>
  </si>
  <si>
    <t xml:space="preserve">  KEY INSIGHTS &amp; RECOMMENDATIONS</t>
  </si>
  <si>
    <t xml:space="preserve">  FINANCIAL HEALTH</t>
  </si>
  <si>
    <t xml:space="preserve">  BUDGET STATUS</t>
  </si>
  <si>
    <t xml:space="preserve">  ACTION ITEM</t>
  </si>
  <si>
    <t xml:space="preserve">  Powered by Smart Finance  •  Update transactions on the Transactions tab to refresh dashboard automatically</t>
  </si>
  <si>
    <t>TRANSACTION LEDGER</t>
  </si>
  <si>
    <t>Add new transactions below — categories pull from Categories tab</t>
  </si>
  <si>
    <t>Date</t>
  </si>
  <si>
    <t>Description</t>
  </si>
  <si>
    <t>Type</t>
  </si>
  <si>
    <t>Amount</t>
  </si>
  <si>
    <t>Payment Method</t>
  </si>
  <si>
    <t>Notes</t>
  </si>
  <si>
    <t>2026-04-01</t>
  </si>
  <si>
    <t>Monthly Salary</t>
  </si>
  <si>
    <t>Salary</t>
  </si>
  <si>
    <t>Direct Deposit</t>
  </si>
  <si>
    <t>Primary employment</t>
  </si>
  <si>
    <t>Rent Payment</t>
  </si>
  <si>
    <t>Housing</t>
  </si>
  <si>
    <t>Expense</t>
  </si>
  <si>
    <t>Bank Transfer</t>
  </si>
  <si>
    <t>Monthly apartment rent</t>
  </si>
  <si>
    <t>2026-04-02</t>
  </si>
  <si>
    <t>Grocery - Whole Foods</t>
  </si>
  <si>
    <t>Food &amp; Dining</t>
  </si>
  <si>
    <t>Credit Card</t>
  </si>
  <si>
    <t>Weekly groceries</t>
  </si>
  <si>
    <t>2026-04-03</t>
  </si>
  <si>
    <t>Gas Station Fill-up</t>
  </si>
  <si>
    <t>Transportation</t>
  </si>
  <si>
    <t>2026-04-04</t>
  </si>
  <si>
    <t>Netflix Subscription</t>
  </si>
  <si>
    <t>Entertainment</t>
  </si>
  <si>
    <t>Monthly subscription</t>
  </si>
  <si>
    <t>2026-04-05</t>
  </si>
  <si>
    <t>Electricity Bill</t>
  </si>
  <si>
    <t>Utilities</t>
  </si>
  <si>
    <t>April utilities</t>
  </si>
  <si>
    <t>2026-04-06</t>
  </si>
  <si>
    <t>Restaurant - Italian</t>
  </si>
  <si>
    <t>Anniversary dinner</t>
  </si>
  <si>
    <t>2026-04-07</t>
  </si>
  <si>
    <t>Internet Bill</t>
  </si>
  <si>
    <t>Auto-Pay</t>
  </si>
  <si>
    <t>Monthly internet</t>
  </si>
  <si>
    <t>2026-04-08</t>
  </si>
  <si>
    <t>Freelance Project</t>
  </si>
  <si>
    <t>Side Income</t>
  </si>
  <si>
    <t>PayPal</t>
  </si>
  <si>
    <t>Logo design work</t>
  </si>
  <si>
    <t>2026-04-09</t>
  </si>
  <si>
    <t>Pharmacy</t>
  </si>
  <si>
    <t>Healthcare</t>
  </si>
  <si>
    <t>Debit Card</t>
  </si>
  <si>
    <t>Prescription</t>
  </si>
  <si>
    <t>2026-04-10</t>
  </si>
  <si>
    <t>Coffee Shop</t>
  </si>
  <si>
    <t>Weekly coffees</t>
  </si>
  <si>
    <t>2026-04-11</t>
  </si>
  <si>
    <t>Amazon Purchase</t>
  </si>
  <si>
    <t>Shopping</t>
  </si>
  <si>
    <t>Office supplies</t>
  </si>
  <si>
    <t>2026-04-12</t>
  </si>
  <si>
    <t>Gym Membership</t>
  </si>
  <si>
    <t>Monthly fitness</t>
  </si>
  <si>
    <t>2026-04-13</t>
  </si>
  <si>
    <t>Uber Rides</t>
  </si>
  <si>
    <t>Weekly transportation</t>
  </si>
  <si>
    <t>2026-04-14</t>
  </si>
  <si>
    <t>Phone Bill</t>
  </si>
  <si>
    <t>Cellular service</t>
  </si>
  <si>
    <t>2026-04-15</t>
  </si>
  <si>
    <t>Investment Dividend</t>
  </si>
  <si>
    <t>Investments</t>
  </si>
  <si>
    <t>Quarterly dividend</t>
  </si>
  <si>
    <t>2026-04-16</t>
  </si>
  <si>
    <t>Movie Theater</t>
  </si>
  <si>
    <t>Date night</t>
  </si>
  <si>
    <t>2026-04-17</t>
  </si>
  <si>
    <t>Grocery - Trader Joe's</t>
  </si>
  <si>
    <t>Weekly shop</t>
  </si>
  <si>
    <t>2026-04-18</t>
  </si>
  <si>
    <t>Concert Tickets</t>
  </si>
  <si>
    <t>Live music</t>
  </si>
  <si>
    <t>2026-04-19</t>
  </si>
  <si>
    <t>Doctor Visit</t>
  </si>
  <si>
    <t>Annual checkup</t>
  </si>
  <si>
    <t>2026-04-20</t>
  </si>
  <si>
    <t>Clothing Purchase</t>
  </si>
  <si>
    <t>Spring wardrobe</t>
  </si>
  <si>
    <t>2026-04-21</t>
  </si>
  <si>
    <t>Car Insurance</t>
  </si>
  <si>
    <t>Monthly premium</t>
  </si>
  <si>
    <t>2026-04-22</t>
  </si>
  <si>
    <t>Books &amp; Magazines</t>
  </si>
  <si>
    <t>Education</t>
  </si>
  <si>
    <t>Self-development</t>
  </si>
  <si>
    <t>2026-04-23</t>
  </si>
  <si>
    <t>Cash Withdrawal</t>
  </si>
  <si>
    <t>Miscellaneous</t>
  </si>
  <si>
    <t>ATM</t>
  </si>
  <si>
    <t>Petty cash</t>
  </si>
  <si>
    <t>2026-04-24</t>
  </si>
  <si>
    <t>Dinner with Friends</t>
  </si>
  <si>
    <t>Social gathering</t>
  </si>
  <si>
    <t>2026-04-25</t>
  </si>
  <si>
    <t>Online Course</t>
  </si>
  <si>
    <t>Excel masterclass</t>
  </si>
  <si>
    <t>2026-04-26</t>
  </si>
  <si>
    <t>Home Improvement</t>
  </si>
  <si>
    <t>Decor items</t>
  </si>
  <si>
    <t>2026-04-27</t>
  </si>
  <si>
    <t>Spotify Premium</t>
  </si>
  <si>
    <t>Music streaming</t>
  </si>
  <si>
    <t>2026-04-28</t>
  </si>
  <si>
    <t>Bonus Payment</t>
  </si>
  <si>
    <t>Project completion</t>
  </si>
  <si>
    <t>2026-04-29</t>
  </si>
  <si>
    <t>Charity Donation</t>
  </si>
  <si>
    <t>Local foundation</t>
  </si>
  <si>
    <t>SUMMARY</t>
  </si>
  <si>
    <t>NET</t>
  </si>
  <si>
    <t>Income − Expenses</t>
  </si>
  <si>
    <t>CATEGORY ANALYSIS  &amp;  BUDGET TRACKING</t>
  </si>
  <si>
    <t>Monthly budget allocations and live spending performance by category</t>
  </si>
  <si>
    <t>Monthly Budget</t>
  </si>
  <si>
    <t>Actual Spent</t>
  </si>
  <si>
    <t>Remaining</t>
  </si>
  <si>
    <t>Status</t>
  </si>
  <si>
    <t>Trend Note</t>
  </si>
  <si>
    <t>Rent, mortgage, repairs</t>
  </si>
  <si>
    <t>Groceries and restaurants</t>
  </si>
  <si>
    <t>Gas, insurance, rideshare</t>
  </si>
  <si>
    <t>Electric, internet, phone</t>
  </si>
  <si>
    <t>Streaming, events, hobbies</t>
  </si>
  <si>
    <t>Clothing and personal items</t>
  </si>
  <si>
    <t>Insurance, gym, prescriptions</t>
  </si>
  <si>
    <t>Courses, books, training</t>
  </si>
  <si>
    <t>Cash, donations, other</t>
  </si>
  <si>
    <t>Savings Goal</t>
  </si>
  <si>
    <t>Target monthly savings</t>
  </si>
  <si>
    <t>OVERALL BUDGET PERFORMANCE</t>
  </si>
  <si>
    <t>BUDGET PLAN  &amp;  ALLOCATION STRATEGY</t>
  </si>
  <si>
    <t>Plan annual budget by category — auto-syncs to Categories analysis</t>
  </si>
  <si>
    <t>Quarterly</t>
  </si>
  <si>
    <t>Annual</t>
  </si>
  <si>
    <t>% of Income</t>
  </si>
  <si>
    <t>50/30/20 Rule</t>
  </si>
  <si>
    <t>Needs (50%)</t>
  </si>
  <si>
    <t>Wants (30%)</t>
  </si>
  <si>
    <t>Savings (20%)</t>
  </si>
  <si>
    <t>TOTAL BUDGET</t>
  </si>
  <si>
    <t>100%</t>
  </si>
  <si>
    <t xml:space="preserve">  50/30/20 RULE COMPLIANCE</t>
  </si>
  <si>
    <t>Recommended</t>
  </si>
  <si>
    <t>Your Plan</t>
  </si>
  <si>
    <t>Difference</t>
  </si>
  <si>
    <t>Needs</t>
  </si>
  <si>
    <t>Essential expenses</t>
  </si>
  <si>
    <t>Wants</t>
  </si>
  <si>
    <t>Lifestyle &amp; discretionary</t>
  </si>
  <si>
    <t>Future security</t>
  </si>
  <si>
    <t>MONTHLY PERFORMANCE  &amp;  TREND ANALYSIS</t>
  </si>
  <si>
    <t>10-month rolling view of income, expenses, and savings performance</t>
  </si>
  <si>
    <t>Save Rate</t>
  </si>
  <si>
    <t>Cumulative Savings</t>
  </si>
  <si>
    <t>Net Worth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</si>
  <si>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</si>
  <si>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</si>
  <si>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</si>
  <si>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</si>
  <si>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</si>
  <si>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</si>
  <si>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</si>
  <si>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</si>
  <si>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</si>
  <si>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</si>
  <si>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10-MO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</si>
</sst>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;[Red]&quot;($&quot;#,##0\);\-"/>
    <numFmt numFmtId="165" formatCode="0.0%;[Red]\(0.0%\);\-"/>
    <numFmt numFmtId="166" formatCode="0.0%"/>
    <numFmt numFmtId="167" formatCode="\$#,##0"/>
    <numFmt numFmtId="168" formatCode="yyyy\-mm\-dd"/>
    <numFmt numFmtId="169" formatCode="\$#,##0.00;[Red]&quot;($&quot;#,##0.00\);\-"/>
  </numFmts>
  <fonts count="34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rgb="FFFFFFFF"/>
      <name val="Calibri"/>
    </font>
    <font/>
    <font>
      <i/>
      <sz val="11.0"/>
      <color rgb="FFCBD5E1"/>
      <name val="Calibri"/>
    </font>
    <font>
      <b/>
      <sz val="10.0"/>
      <color rgb="FFFFFFFF"/>
      <name val="Calibri"/>
    </font>
    <font>
      <b/>
      <sz val="22.0"/>
      <color rgb="FF1E293B"/>
      <name val="Calibri"/>
    </font>
    <font>
      <sz val="9.0"/>
      <color rgb="FF475569"/>
      <name val="Calibri"/>
    </font>
    <font>
      <b/>
      <sz val="18.0"/>
      <color rgb="FF1E293B"/>
      <name val="Calibri"/>
    </font>
    <font>
      <b/>
      <sz val="14.0"/>
      <color rgb="FFFFFFFF"/>
      <name val="Calibri"/>
    </font>
    <font>
      <sz val="10.0"/>
      <color rgb="FF1E293B"/>
      <name val="Calibri"/>
    </font>
    <font>
      <b/>
      <sz val="10.0"/>
      <color rgb="FF1E293B"/>
      <name val="Calibri"/>
    </font>
    <font>
      <b/>
      <sz val="10.0"/>
      <color theme="1"/>
      <name val="Calibri"/>
    </font>
    <font>
      <b/>
      <sz val="10.0"/>
      <color rgb="FF10B981"/>
      <name val="Calibri"/>
    </font>
    <font>
      <b/>
      <sz val="10.0"/>
      <color rgb="FFEF4444"/>
      <name val="Calibri"/>
    </font>
    <font>
      <b/>
      <sz val="10.0"/>
      <color rgb="FF6B46C1"/>
      <name val="Calibri"/>
    </font>
    <font>
      <b/>
      <sz val="11.0"/>
      <color rgb="FFFFFFFF"/>
      <name val="Calibri"/>
    </font>
    <font>
      <i/>
      <sz val="9.0"/>
      <color rgb="FFFFFFFF"/>
      <name val="Calibri"/>
    </font>
    <font>
      <b/>
      <sz val="20.0"/>
      <color rgb="FFFFFFFF"/>
      <name val="Calibri"/>
    </font>
    <font>
      <i/>
      <sz val="10.0"/>
      <color rgb="FFCBD5E1"/>
      <name val="Calibri"/>
    </font>
    <font>
      <i/>
      <sz val="9.0"/>
      <color rgb="FF64748B"/>
      <name val="Calibri"/>
    </font>
    <font>
      <i/>
      <sz val="10.0"/>
      <color rgb="FFFFFFFF"/>
      <name val="Calibri"/>
    </font>
    <font>
      <b/>
      <sz val="11.0"/>
      <color rgb="FF1E293B"/>
      <name val="Calibri"/>
    </font>
    <font>
      <sz val="11.0"/>
      <color rgb="FF0000FF"/>
      <name val="Calibri"/>
    </font>
    <font>
      <b/>
      <sz val="11.0"/>
      <color theme="1"/>
      <name val="Calibri"/>
    </font>
    <font>
      <b/>
      <sz val="12.0"/>
      <color rgb="FFFFFFFF"/>
      <name val="Calibri"/>
    </font>
    <font>
      <sz val="11.0"/>
      <color rgb="FF008000"/>
      <name val="Calibri"/>
    </font>
    <font>
      <sz val="11.0"/>
      <color rgb="FF1E293B"/>
      <name val="Calibri"/>
    </font>
    <font>
      <b/>
      <sz val="10.0"/>
      <color rgb="FF0F766E"/>
      <name val="Calibri"/>
    </font>
    <font>
      <b/>
      <sz val="10.0"/>
      <color rgb="FF9333EA"/>
      <name val="Calibri"/>
    </font>
    <font>
      <b/>
      <sz val="10.0"/>
      <color rgb="FF059669"/>
      <name val="Calibri"/>
    </font>
    <font>
      <b/>
      <sz val="11.0"/>
      <color rgb="FF10B981"/>
      <name val="Calibri"/>
    </font>
    <font>
      <b/>
      <sz val="11.0"/>
      <color rgb="FF6B46C1"/>
      <name val="Calibri"/>
    </font>
    <font>
      <b/>
      <sz val="11.0"/>
      <color rgb="FFF59E0B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0C9A7"/>
        <bgColor rgb="FF00C9A7"/>
      </patternFill>
    </fill>
    <fill>
      <patternFill patternType="solid">
        <fgColor rgb="FF0F1B3D"/>
        <bgColor rgb="FF0F1B3D"/>
      </patternFill>
    </fill>
    <fill>
      <patternFill patternType="solid">
        <fgColor rgb="FF1E2A5E"/>
        <bgColor rgb="FF1E2A5E"/>
      </patternFill>
    </fill>
    <fill>
      <patternFill patternType="solid">
        <fgColor rgb="FF10B981"/>
        <bgColor rgb="FF10B981"/>
      </patternFill>
    </fill>
    <fill>
      <patternFill patternType="solid">
        <fgColor rgb="FFEF4444"/>
        <bgColor rgb="FFEF4444"/>
      </patternFill>
    </fill>
    <fill>
      <patternFill patternType="solid">
        <fgColor rgb="FF6B46C1"/>
        <bgColor rgb="FF6B46C1"/>
      </patternFill>
    </fill>
    <fill>
      <patternFill patternType="solid">
        <fgColor rgb="FFFFFFFF"/>
        <bgColor rgb="FFFFFFFF"/>
      </patternFill>
    </fill>
    <fill>
      <patternFill patternType="solid">
        <fgColor rgb="FF1E3A8A"/>
        <bgColor rgb="FF1E3A8A"/>
      </patternFill>
    </fill>
    <fill>
      <patternFill patternType="solid">
        <fgColor rgb="FF3B82F6"/>
        <bgColor rgb="FF3B82F6"/>
      </patternFill>
    </fill>
    <fill>
      <patternFill patternType="solid">
        <fgColor rgb="FF06B6D4"/>
        <bgColor rgb="FF06B6D4"/>
      </patternFill>
    </fill>
    <fill>
      <patternFill patternType="solid">
        <fgColor rgb="FFF59E0B"/>
        <bgColor rgb="FFF59E0B"/>
      </patternFill>
    </fill>
    <fill>
      <patternFill patternType="solid">
        <fgColor rgb="FF2E4BA8"/>
        <bgColor rgb="FF2E4BA8"/>
      </patternFill>
    </fill>
    <fill>
      <patternFill patternType="solid">
        <fgColor rgb="FFFAFBFD"/>
        <bgColor rgb="FFFAFBFD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2" fillId="4" fontId="4" numFmtId="0" xfId="0" applyAlignment="1" applyBorder="1" applyFill="1" applyFont="1">
      <alignment horizontal="left" vertical="center"/>
    </xf>
    <xf borderId="2" fillId="5" fontId="5" numFmtId="0" xfId="0" applyAlignment="1" applyBorder="1" applyFill="1" applyFont="1">
      <alignment horizontal="left" vertical="center"/>
    </xf>
    <xf borderId="2" fillId="6" fontId="5" numFmtId="0" xfId="0" applyAlignment="1" applyBorder="1" applyFill="1" applyFont="1">
      <alignment horizontal="left" vertical="center"/>
    </xf>
    <xf borderId="2" fillId="2" fontId="5" numFmtId="0" xfId="0" applyAlignment="1" applyBorder="1" applyFont="1">
      <alignment horizontal="left" vertical="center"/>
    </xf>
    <xf borderId="2" fillId="7" fontId="5" numFmtId="0" xfId="0" applyAlignment="1" applyBorder="1" applyFill="1" applyFont="1">
      <alignment horizontal="left" vertical="center"/>
    </xf>
    <xf borderId="2" fillId="8" fontId="6" numFmtId="164" xfId="0" applyAlignment="1" applyBorder="1" applyFill="1" applyFont="1" applyNumberFormat="1">
      <alignment horizontal="center" vertical="center"/>
    </xf>
    <xf borderId="2" fillId="8" fontId="6" numFmtId="165" xfId="0" applyAlignment="1" applyBorder="1" applyFont="1" applyNumberFormat="1">
      <alignment horizontal="center" vertical="center"/>
    </xf>
    <xf borderId="2" fillId="8" fontId="7" numFmtId="0" xfId="0" applyAlignment="1" applyBorder="1" applyFont="1">
      <alignment horizontal="left" vertical="center"/>
    </xf>
    <xf borderId="2" fillId="5" fontId="1" numFmtId="0" xfId="0" applyBorder="1" applyFont="1"/>
    <xf borderId="2" fillId="6" fontId="1" numFmtId="0" xfId="0" applyBorder="1" applyFont="1"/>
    <xf borderId="2" fillId="2" fontId="1" numFmtId="0" xfId="0" applyBorder="1" applyFont="1"/>
    <xf borderId="2" fillId="7" fontId="1" numFmtId="0" xfId="0" applyBorder="1" applyFont="1"/>
    <xf borderId="2" fillId="9" fontId="5" numFmtId="0" xfId="0" applyAlignment="1" applyBorder="1" applyFill="1" applyFont="1">
      <alignment horizontal="left" vertical="center"/>
    </xf>
    <xf borderId="2" fillId="10" fontId="5" numFmtId="0" xfId="0" applyAlignment="1" applyBorder="1" applyFill="1" applyFont="1">
      <alignment horizontal="left" vertical="center"/>
    </xf>
    <xf borderId="2" fillId="11" fontId="5" numFmtId="0" xfId="0" applyAlignment="1" applyBorder="1" applyFill="1" applyFont="1">
      <alignment horizontal="left" vertical="center"/>
    </xf>
    <xf borderId="2" fillId="12" fontId="5" numFmtId="0" xfId="0" applyAlignment="1" applyBorder="1" applyFill="1" applyFont="1">
      <alignment horizontal="left" vertical="center"/>
    </xf>
    <xf borderId="2" fillId="8" fontId="6" numFmtId="166" xfId="0" applyAlignment="1" applyBorder="1" applyFont="1" applyNumberFormat="1">
      <alignment horizontal="center" vertical="center"/>
    </xf>
    <xf borderId="2" fillId="8" fontId="8" numFmtId="0" xfId="0" applyAlignment="1" applyBorder="1" applyFont="1">
      <alignment horizontal="center" vertical="center"/>
    </xf>
    <xf borderId="2" fillId="8" fontId="6" numFmtId="3" xfId="0" applyAlignment="1" applyBorder="1" applyFont="1" applyNumberFormat="1">
      <alignment horizontal="center" vertical="center"/>
    </xf>
    <xf borderId="2" fillId="9" fontId="1" numFmtId="0" xfId="0" applyBorder="1" applyFont="1"/>
    <xf borderId="2" fillId="10" fontId="1" numFmtId="0" xfId="0" applyBorder="1" applyFont="1"/>
    <xf borderId="2" fillId="11" fontId="1" numFmtId="0" xfId="0" applyBorder="1" applyFont="1"/>
    <xf borderId="2" fillId="12" fontId="1" numFmtId="0" xfId="0" applyBorder="1" applyFont="1"/>
    <xf borderId="2" fillId="3" fontId="9" numFmtId="0" xfId="0" applyAlignment="1" applyBorder="1" applyFont="1">
      <alignment horizontal="left" vertical="center"/>
    </xf>
    <xf borderId="5" fillId="13" fontId="5" numFmtId="0" xfId="0" applyAlignment="1" applyBorder="1" applyFill="1" applyFont="1">
      <alignment horizontal="center" vertical="center"/>
    </xf>
    <xf borderId="6" fillId="14" fontId="10" numFmtId="0" xfId="0" applyAlignment="1" applyBorder="1" applyFill="1" applyFont="1">
      <alignment horizontal="left" vertical="center"/>
    </xf>
    <xf borderId="6" fillId="14" fontId="10" numFmtId="164" xfId="0" applyAlignment="1" applyBorder="1" applyFont="1" applyNumberFormat="1">
      <alignment horizontal="right" vertical="center"/>
    </xf>
    <xf borderId="6" fillId="14" fontId="11" numFmtId="164" xfId="0" applyAlignment="1" applyBorder="1" applyFont="1" applyNumberFormat="1">
      <alignment horizontal="right" vertical="center"/>
    </xf>
    <xf borderId="6" fillId="14" fontId="12" numFmtId="166" xfId="0" applyAlignment="1" applyBorder="1" applyFont="1" applyNumberFormat="1">
      <alignment horizontal="center" vertical="center"/>
    </xf>
    <xf borderId="6" fillId="14" fontId="13" numFmtId="164" xfId="0" applyAlignment="1" applyBorder="1" applyFont="1" applyNumberFormat="1">
      <alignment horizontal="right" vertical="center"/>
    </xf>
    <xf borderId="6" fillId="14" fontId="14" numFmtId="164" xfId="0" applyAlignment="1" applyBorder="1" applyFont="1" applyNumberFormat="1">
      <alignment horizontal="right" vertical="center"/>
    </xf>
    <xf borderId="6" fillId="14" fontId="15" numFmtId="166" xfId="0" applyAlignment="1" applyBorder="1" applyFont="1" applyNumberFormat="1">
      <alignment horizontal="center" vertical="center"/>
    </xf>
    <xf borderId="6" fillId="8" fontId="10" numFmtId="0" xfId="0" applyAlignment="1" applyBorder="1" applyFont="1">
      <alignment horizontal="left" vertical="center"/>
    </xf>
    <xf borderId="6" fillId="8" fontId="10" numFmtId="164" xfId="0" applyAlignment="1" applyBorder="1" applyFont="1" applyNumberFormat="1">
      <alignment horizontal="right" vertical="center"/>
    </xf>
    <xf borderId="6" fillId="8" fontId="11" numFmtId="164" xfId="0" applyAlignment="1" applyBorder="1" applyFont="1" applyNumberFormat="1">
      <alignment horizontal="right" vertical="center"/>
    </xf>
    <xf borderId="6" fillId="8" fontId="12" numFmtId="166" xfId="0" applyAlignment="1" applyBorder="1" applyFont="1" applyNumberFormat="1">
      <alignment horizontal="center" vertical="center"/>
    </xf>
    <xf borderId="6" fillId="8" fontId="13" numFmtId="164" xfId="0" applyAlignment="1" applyBorder="1" applyFont="1" applyNumberFormat="1">
      <alignment horizontal="right" vertical="center"/>
    </xf>
    <xf borderId="6" fillId="8" fontId="14" numFmtId="164" xfId="0" applyAlignment="1" applyBorder="1" applyFont="1" applyNumberFormat="1">
      <alignment horizontal="right" vertical="center"/>
    </xf>
    <xf borderId="6" fillId="8" fontId="15" numFmtId="166" xfId="0" applyAlignment="1" applyBorder="1" applyFont="1" applyNumberFormat="1">
      <alignment horizontal="center" vertical="center"/>
    </xf>
    <xf borderId="1" fillId="3" fontId="16" numFmtId="0" xfId="0" applyAlignment="1" applyBorder="1" applyFont="1">
      <alignment horizontal="left" vertical="center"/>
    </xf>
    <xf borderId="1" fillId="3" fontId="16" numFmtId="167" xfId="0" applyAlignment="1" applyBorder="1" applyFont="1" applyNumberFormat="1">
      <alignment horizontal="right" vertical="center"/>
    </xf>
    <xf borderId="1" fillId="3" fontId="16" numFmtId="166" xfId="0" applyAlignment="1" applyBorder="1" applyFont="1" applyNumberFormat="1">
      <alignment horizontal="center" vertical="center"/>
    </xf>
    <xf borderId="2" fillId="8" fontId="10" numFmtId="0" xfId="0" applyAlignment="1" applyBorder="1" applyFont="1">
      <alignment horizontal="left" shrinkToFit="0" vertical="center" wrapText="1"/>
    </xf>
    <xf borderId="2" fillId="4" fontId="17" numFmtId="0" xfId="0" applyAlignment="1" applyBorder="1" applyFont="1">
      <alignment horizontal="left" vertical="center"/>
    </xf>
    <xf borderId="2" fillId="3" fontId="18" numFmtId="0" xfId="0" applyAlignment="1" applyBorder="1" applyFont="1">
      <alignment horizontal="left" vertical="center"/>
    </xf>
    <xf borderId="2" fillId="4" fontId="19" numFmtId="0" xfId="0" applyAlignment="1" applyBorder="1" applyFont="1">
      <alignment horizontal="left" vertical="center"/>
    </xf>
    <xf borderId="5" fillId="13" fontId="16" numFmtId="0" xfId="0" applyAlignment="1" applyBorder="1" applyFont="1">
      <alignment horizontal="center" vertical="center"/>
    </xf>
    <xf borderId="6" fillId="14" fontId="10" numFmtId="168" xfId="0" applyAlignment="1" applyBorder="1" applyFont="1" applyNumberFormat="1">
      <alignment horizontal="center" vertical="center"/>
    </xf>
    <xf borderId="6" fillId="14" fontId="13" numFmtId="0" xfId="0" applyAlignment="1" applyBorder="1" applyFont="1">
      <alignment horizontal="center" vertical="center"/>
    </xf>
    <xf borderId="6" fillId="14" fontId="11" numFmtId="169" xfId="0" applyAlignment="1" applyBorder="1" applyFont="1" applyNumberFormat="1">
      <alignment horizontal="right" vertical="center"/>
    </xf>
    <xf borderId="6" fillId="14" fontId="20" numFmtId="0" xfId="0" applyAlignment="1" applyBorder="1" applyFont="1">
      <alignment horizontal="left" vertical="center"/>
    </xf>
    <xf borderId="6" fillId="8" fontId="10" numFmtId="168" xfId="0" applyAlignment="1" applyBorder="1" applyFont="1" applyNumberFormat="1">
      <alignment horizontal="center" vertical="center"/>
    </xf>
    <xf borderId="6" fillId="8" fontId="14" numFmtId="0" xfId="0" applyAlignment="1" applyBorder="1" applyFont="1">
      <alignment horizontal="center" vertical="center"/>
    </xf>
    <xf borderId="6" fillId="8" fontId="11" numFmtId="169" xfId="0" applyAlignment="1" applyBorder="1" applyFont="1" applyNumberFormat="1">
      <alignment horizontal="right" vertical="center"/>
    </xf>
    <xf borderId="6" fillId="8" fontId="20" numFmtId="0" xfId="0" applyAlignment="1" applyBorder="1" applyFont="1">
      <alignment horizontal="left" vertical="center"/>
    </xf>
    <xf borderId="6" fillId="14" fontId="14" numFmtId="0" xfId="0" applyAlignment="1" applyBorder="1" applyFont="1">
      <alignment horizontal="center" vertical="center"/>
    </xf>
    <xf borderId="6" fillId="8" fontId="13" numFmtId="0" xfId="0" applyAlignment="1" applyBorder="1" applyFont="1">
      <alignment horizontal="center" vertical="center"/>
    </xf>
    <xf borderId="2" fillId="3" fontId="16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 vertical="center"/>
    </xf>
    <xf borderId="1" fillId="3" fontId="16" numFmtId="169" xfId="0" applyAlignment="1" applyBorder="1" applyFont="1" applyNumberFormat="1">
      <alignment horizontal="right" vertical="center"/>
    </xf>
    <xf borderId="2" fillId="3" fontId="21" numFmtId="0" xfId="0" applyAlignment="1" applyBorder="1" applyFont="1">
      <alignment horizontal="left" vertical="center"/>
    </xf>
    <xf borderId="6" fillId="14" fontId="22" numFmtId="0" xfId="0" applyAlignment="1" applyBorder="1" applyFont="1">
      <alignment horizontal="left" vertical="center"/>
    </xf>
    <xf borderId="6" fillId="14" fontId="23" numFmtId="164" xfId="0" applyAlignment="1" applyBorder="1" applyFont="1" applyNumberFormat="1">
      <alignment horizontal="right" vertical="center"/>
    </xf>
    <xf borderId="6" fillId="14" fontId="22" numFmtId="164" xfId="0" applyAlignment="1" applyBorder="1" applyFont="1" applyNumberFormat="1">
      <alignment horizontal="right" vertical="center"/>
    </xf>
    <xf borderId="6" fillId="14" fontId="24" numFmtId="164" xfId="0" applyAlignment="1" applyBorder="1" applyFont="1" applyNumberFormat="1">
      <alignment horizontal="right" vertical="center"/>
    </xf>
    <xf borderId="6" fillId="14" fontId="22" numFmtId="166" xfId="0" applyAlignment="1" applyBorder="1" applyFont="1" applyNumberFormat="1">
      <alignment horizontal="center" vertical="center"/>
    </xf>
    <xf borderId="6" fillId="14" fontId="11" numFmtId="0" xfId="0" applyAlignment="1" applyBorder="1" applyFont="1">
      <alignment horizontal="center" vertical="center"/>
    </xf>
    <xf borderId="6" fillId="8" fontId="22" numFmtId="0" xfId="0" applyAlignment="1" applyBorder="1" applyFont="1">
      <alignment horizontal="left" vertical="center"/>
    </xf>
    <xf borderId="6" fillId="8" fontId="23" numFmtId="164" xfId="0" applyAlignment="1" applyBorder="1" applyFont="1" applyNumberFormat="1">
      <alignment horizontal="right" vertical="center"/>
    </xf>
    <xf borderId="6" fillId="8" fontId="22" numFmtId="164" xfId="0" applyAlignment="1" applyBorder="1" applyFont="1" applyNumberFormat="1">
      <alignment horizontal="right" vertical="center"/>
    </xf>
    <xf borderId="6" fillId="8" fontId="24" numFmtId="164" xfId="0" applyAlignment="1" applyBorder="1" applyFont="1" applyNumberFormat="1">
      <alignment horizontal="right" vertical="center"/>
    </xf>
    <xf borderId="6" fillId="8" fontId="22" numFmtId="166" xfId="0" applyAlignment="1" applyBorder="1" applyFont="1" applyNumberFormat="1">
      <alignment horizontal="center" vertical="center"/>
    </xf>
    <xf borderId="6" fillId="8" fontId="11" numFmtId="0" xfId="0" applyAlignment="1" applyBorder="1" applyFont="1">
      <alignment horizontal="center" vertical="center"/>
    </xf>
    <xf borderId="1" fillId="3" fontId="25" numFmtId="0" xfId="0" applyAlignment="1" applyBorder="1" applyFont="1">
      <alignment horizontal="left" vertical="center"/>
    </xf>
    <xf borderId="1" fillId="3" fontId="25" numFmtId="167" xfId="0" applyAlignment="1" applyBorder="1" applyFont="1" applyNumberFormat="1">
      <alignment horizontal="right" vertical="center"/>
    </xf>
    <xf borderId="1" fillId="3" fontId="25" numFmtId="166" xfId="0" applyAlignment="1" applyBorder="1" applyFont="1" applyNumberFormat="1">
      <alignment horizontal="center" vertical="center"/>
    </xf>
    <xf borderId="2" fillId="3" fontId="21" numFmtId="0" xfId="0" applyAlignment="1" applyBorder="1" applyFont="1">
      <alignment horizontal="center" vertical="center"/>
    </xf>
    <xf borderId="6" fillId="14" fontId="26" numFmtId="164" xfId="0" applyAlignment="1" applyBorder="1" applyFont="1" applyNumberFormat="1">
      <alignment horizontal="right" vertical="center"/>
    </xf>
    <xf borderId="6" fillId="14" fontId="27" numFmtId="164" xfId="0" applyAlignment="1" applyBorder="1" applyFont="1" applyNumberFormat="1">
      <alignment horizontal="right" vertical="center"/>
    </xf>
    <xf borderId="6" fillId="14" fontId="28" numFmtId="0" xfId="0" applyAlignment="1" applyBorder="1" applyFont="1">
      <alignment horizontal="center" vertical="center"/>
    </xf>
    <xf borderId="6" fillId="8" fontId="26" numFmtId="164" xfId="0" applyAlignment="1" applyBorder="1" applyFont="1" applyNumberFormat="1">
      <alignment horizontal="right" vertical="center"/>
    </xf>
    <xf borderId="6" fillId="8" fontId="27" numFmtId="164" xfId="0" applyAlignment="1" applyBorder="1" applyFont="1" applyNumberFormat="1">
      <alignment horizontal="right" vertical="center"/>
    </xf>
    <xf borderId="6" fillId="8" fontId="28" numFmtId="0" xfId="0" applyAlignment="1" applyBorder="1" applyFont="1">
      <alignment horizontal="center" vertical="center"/>
    </xf>
    <xf borderId="6" fillId="8" fontId="29" numFmtId="0" xfId="0" applyAlignment="1" applyBorder="1" applyFont="1">
      <alignment horizontal="center" vertical="center"/>
    </xf>
    <xf borderId="6" fillId="14" fontId="29" numFmtId="0" xfId="0" applyAlignment="1" applyBorder="1" applyFont="1">
      <alignment horizontal="center" vertical="center"/>
    </xf>
    <xf borderId="6" fillId="8" fontId="30" numFmtId="0" xfId="0" applyAlignment="1" applyBorder="1" applyFont="1">
      <alignment horizontal="center" vertical="center"/>
    </xf>
    <xf borderId="6" fillId="14" fontId="27" numFmtId="166" xfId="0" applyAlignment="1" applyBorder="1" applyFont="1" applyNumberFormat="1">
      <alignment horizontal="center" vertical="center"/>
    </xf>
    <xf borderId="6" fillId="14" fontId="24" numFmtId="165" xfId="0" applyAlignment="1" applyBorder="1" applyFont="1" applyNumberFormat="1">
      <alignment horizontal="center" vertical="center"/>
    </xf>
    <xf borderId="6" fillId="8" fontId="27" numFmtId="166" xfId="0" applyAlignment="1" applyBorder="1" applyFont="1" applyNumberFormat="1">
      <alignment horizontal="center" vertical="center"/>
    </xf>
    <xf borderId="6" fillId="8" fontId="24" numFmtId="165" xfId="0" applyAlignment="1" applyBorder="1" applyFont="1" applyNumberFormat="1">
      <alignment horizontal="center" vertical="center"/>
    </xf>
    <xf borderId="6" fillId="14" fontId="31" numFmtId="164" xfId="0" applyAlignment="1" applyBorder="1" applyFont="1" applyNumberFormat="1">
      <alignment horizontal="right" vertical="center"/>
    </xf>
    <xf borderId="6" fillId="14" fontId="32" numFmtId="166" xfId="0" applyAlignment="1" applyBorder="1" applyFont="1" applyNumberFormat="1">
      <alignment horizontal="center" vertical="center"/>
    </xf>
    <xf borderId="6" fillId="14" fontId="33" numFmtId="164" xfId="0" applyAlignment="1" applyBorder="1" applyFont="1" applyNumberFormat="1">
      <alignment horizontal="right" vertical="center"/>
    </xf>
    <xf borderId="6" fillId="8" fontId="31" numFmtId="164" xfId="0" applyAlignment="1" applyBorder="1" applyFont="1" applyNumberFormat="1">
      <alignment horizontal="right" vertical="center"/>
    </xf>
    <xf borderId="6" fillId="8" fontId="32" numFmtId="166" xfId="0" applyAlignment="1" applyBorder="1" applyFont="1" applyNumberFormat="1">
      <alignment horizontal="center" vertical="center"/>
    </xf>
    <xf borderId="6" fillId="8" fontId="33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2">
    <dxf>
      <font>
        <b/>
        <color rgb="FF10B981"/>
      </font>
      <fill>
        <patternFill patternType="solid">
          <fgColor rgb="FFDCFCE7"/>
          <bgColor rgb="FFDCFCE7"/>
        </patternFill>
      </fill>
      <border/>
    </dxf>
    <dxf>
      <font>
        <b/>
        <color rgb="FFEF4444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Expense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Categories!$D$4</c:f>
            </c:strRef>
          </c:tx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Categories!$B$5:$B$14</c:f>
            </c:strRef>
          </c:cat>
          <c:val>
            <c:numRef>
              <c:f>Categories!$D$5:$D$14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Budget vs Actual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Monthly Budget</c:v>
          </c:tx>
          <c:spPr>
            <a:solidFill>
              <a:srgbClr val="4672A8"/>
            </a:solidFill>
            <a:ln cmpd="sng">
              <a:noFill/>
            </a:ln>
          </c:spPr>
          <c:cat>
            <c:strRef>
              <c:f>Categories!$B$5:$B$14</c:f>
            </c:strRef>
          </c:cat>
          <c:val>
            <c:numRef>
              <c:f>Categories!$C$5:$C$14</c:f>
              <c:numCache/>
            </c:numRef>
          </c:val>
        </c:ser>
        <c:ser>
          <c:idx val="1"/>
          <c:order val="1"/>
          <c:tx>
            <c:v>Actual Spent</c:v>
          </c:tx>
          <c:spPr>
            <a:solidFill>
              <a:srgbClr val="93A9CE"/>
            </a:solidFill>
            <a:ln cmpd="sng">
              <a:noFill/>
            </a:ln>
          </c:spPr>
          <c:cat>
            <c:strRef>
              <c:f>Categories!$B$5:$B$14</c:f>
            </c:strRef>
          </c:cat>
          <c:val>
            <c:numRef>
              <c:f>Categories!$D$5:$D$14</c:f>
              <c:numCache/>
            </c:numRef>
          </c:val>
        </c:ser>
        <c:axId val="704136062"/>
        <c:axId val="138000223"/>
      </c:barChart>
      <c:catAx>
        <c:axId val="7041360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8000223"/>
      </c:catAx>
      <c:valAx>
        <c:axId val="1380002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04136062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Income vs Expenses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Income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Monthly!$B$5:$B$14</c:f>
            </c:strRef>
          </c:cat>
          <c:val>
            <c:numRef>
              <c:f>Monthly!$C$5:$C$14</c:f>
              <c:numCache/>
            </c:numRef>
          </c:val>
        </c:ser>
        <c:ser>
          <c:idx val="1"/>
          <c:order val="1"/>
          <c:tx>
            <c:v>Expenses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Monthly!$B$5:$B$14</c:f>
            </c:strRef>
          </c:cat>
          <c:val>
            <c:numRef>
              <c:f>Monthly!$D$5:$D$14</c:f>
              <c:numCache/>
            </c:numRef>
          </c:val>
        </c:ser>
        <c:axId val="774587483"/>
        <c:axId val="1127890564"/>
      </c:barChart>
      <c:catAx>
        <c:axId val="774587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27890564"/>
      </c:catAx>
      <c:valAx>
        <c:axId val="1127890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458748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Net Worth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Net Worth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Monthly!$B$5:$B$14</c:f>
            </c:strRef>
          </c:cat>
          <c:val>
            <c:numRef>
              <c:f>Monthly!$H$5:$H$14</c:f>
              <c:numCache/>
            </c:numRef>
          </c:val>
          <c:smooth val="1"/>
        </c:ser>
        <c:axId val="457478937"/>
        <c:axId val="1527832151"/>
      </c:lineChart>
      <c:catAx>
        <c:axId val="457478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27832151"/>
      </c:catAx>
      <c:valAx>
        <c:axId val="1527832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Net Worth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5747893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4105275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13</xdr:row>
      <xdr:rowOff>209550</xdr:rowOff>
    </xdr:from>
    <xdr:ext cx="6172200" cy="45148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6172200" cy="3238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571500</xdr:colOff>
      <xdr:row>14</xdr:row>
      <xdr:rowOff>295275</xdr:rowOff>
    </xdr:from>
    <xdr:ext cx="6181725" cy="3400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5" width="18.0"/>
    <col customWidth="1" min="6" max="6" width="4.0"/>
    <col customWidth="1" min="7" max="7" width="22.0"/>
    <col customWidth="1" min="8" max="11" width="18.0"/>
    <col customWidth="1" min="12" max="12" width="2.0"/>
    <col customWidth="1" min="13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9.5" customHeight="1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</row>
    <row r="3" ht="27.75" customHeight="1">
      <c r="B3" s="5" t="s">
        <v>1</v>
      </c>
      <c r="C3" s="3"/>
      <c r="D3" s="3"/>
      <c r="E3" s="3"/>
      <c r="F3" s="3"/>
      <c r="G3" s="3"/>
      <c r="H3" s="3"/>
      <c r="I3" s="3"/>
      <c r="J3" s="3"/>
      <c r="K3" s="4"/>
    </row>
    <row r="4" ht="12.0" customHeight="1"/>
    <row r="5" ht="21.75" customHeight="1">
      <c r="B5" s="6" t="s">
        <v>2</v>
      </c>
      <c r="C5" s="4"/>
      <c r="D5" s="7" t="s">
        <v>3</v>
      </c>
      <c r="E5" s="4"/>
      <c r="G5" s="8" t="s">
        <v>4</v>
      </c>
      <c r="H5" s="4"/>
      <c r="J5" s="9" t="s">
        <v>5</v>
      </c>
      <c r="K5" s="4"/>
    </row>
    <row r="6" ht="34.5" customHeight="1">
      <c r="B6" s="10">
        <f>SUMIF(Transactions!E:E,"Income",Transactions!F:F)</f>
        <v>7335.5</v>
      </c>
      <c r="C6" s="4"/>
      <c r="D6" s="10">
        <f>SUMIF(Transactions!E:E,"Expense",Transactions!F:F)</f>
        <v>3647</v>
      </c>
      <c r="E6" s="4"/>
      <c r="G6" s="10">
        <f>B6-D6</f>
        <v>3688.5</v>
      </c>
      <c r="H6" s="4"/>
      <c r="J6" s="11">
        <f>IFERROR(G6/B6,0)</f>
        <v>0.5028287097</v>
      </c>
      <c r="K6" s="4"/>
    </row>
    <row r="7" ht="18.0" customHeight="1">
      <c r="B7" s="12" t="s">
        <v>6</v>
      </c>
      <c r="C7" s="4"/>
      <c r="D7" s="12" t="s">
        <v>7</v>
      </c>
      <c r="E7" s="4"/>
      <c r="G7" s="12" t="s">
        <v>8</v>
      </c>
      <c r="H7" s="4"/>
      <c r="J7" s="12" t="s">
        <v>9</v>
      </c>
      <c r="K7" s="4"/>
    </row>
    <row r="8" ht="12.0" customHeight="1">
      <c r="B8" s="13"/>
      <c r="C8" s="4"/>
      <c r="D8" s="14"/>
      <c r="E8" s="4"/>
      <c r="G8" s="15"/>
      <c r="H8" s="4"/>
      <c r="J8" s="16"/>
      <c r="K8" s="4"/>
    </row>
    <row r="10" ht="7.5" customHeight="1"/>
    <row r="11" ht="21.75" customHeight="1">
      <c r="B11" s="17" t="s">
        <v>10</v>
      </c>
      <c r="C11" s="4"/>
      <c r="D11" s="18" t="s">
        <v>11</v>
      </c>
      <c r="E11" s="4"/>
      <c r="G11" s="19" t="s">
        <v>12</v>
      </c>
      <c r="H11" s="4"/>
      <c r="J11" s="20" t="s">
        <v>13</v>
      </c>
      <c r="K11" s="4"/>
    </row>
    <row r="12" ht="34.5" customHeight="1">
      <c r="B12" s="21">
        <f>IFERROR(D6/SUM(Budget!C5:C14),0)</f>
        <v>0.7397565923</v>
      </c>
      <c r="C12" s="4"/>
      <c r="D12" s="10">
        <f>IFERROR(D6/30,0)</f>
        <v>121.5666667</v>
      </c>
      <c r="E12" s="4"/>
      <c r="G12" s="22" t="str">
        <f t="array" ref="G12">INDEX(Categories!B5:B14,MATCH(MAX(Categories!D5:D14),Categories!D5:D14,0))</f>
        <v>Savings Goal</v>
      </c>
      <c r="H12" s="4"/>
      <c r="J12" s="23">
        <f>COUNTA(Transactions!B5:B500)</f>
        <v>31</v>
      </c>
      <c r="K12" s="4"/>
    </row>
    <row r="13" ht="18.0" customHeight="1">
      <c r="B13" s="12" t="s">
        <v>14</v>
      </c>
      <c r="C13" s="4"/>
      <c r="D13" s="12" t="s">
        <v>15</v>
      </c>
      <c r="E13" s="4"/>
      <c r="G13" s="12" t="str">
        <f>" $ "&amp;TEXT(MAX(Categories!D5:D14),"#,##0")&amp;" Spent"</f>
        <v> $ 3,689 Spent</v>
      </c>
      <c r="H13" s="4"/>
      <c r="J13" s="12" t="s">
        <v>16</v>
      </c>
      <c r="K13" s="4"/>
    </row>
    <row r="14" ht="12.0" customHeight="1">
      <c r="B14" s="24"/>
      <c r="C14" s="4"/>
      <c r="D14" s="25"/>
      <c r="E14" s="4"/>
      <c r="G14" s="26"/>
      <c r="H14" s="4"/>
      <c r="J14" s="27"/>
      <c r="K14" s="4"/>
    </row>
    <row r="16" ht="7.5" customHeight="1"/>
    <row r="17" ht="30.0" customHeight="1">
      <c r="B17" s="28" t="s">
        <v>17</v>
      </c>
      <c r="C17" s="3"/>
      <c r="D17" s="3"/>
      <c r="E17" s="3"/>
      <c r="F17" s="4"/>
      <c r="G17" s="28" t="s">
        <v>18</v>
      </c>
      <c r="H17" s="3"/>
      <c r="I17" s="3"/>
      <c r="J17" s="3"/>
      <c r="K17" s="4"/>
    </row>
    <row r="19" ht="24.0" customHeight="1">
      <c r="B19" s="29" t="s">
        <v>19</v>
      </c>
      <c r="C19" s="29" t="s">
        <v>20</v>
      </c>
      <c r="D19" s="29" t="s">
        <v>21</v>
      </c>
      <c r="E19" s="29" t="s">
        <v>22</v>
      </c>
      <c r="G19" s="29" t="s">
        <v>23</v>
      </c>
      <c r="H19" s="29" t="s">
        <v>24</v>
      </c>
      <c r="I19" s="29" t="s">
        <v>25</v>
      </c>
      <c r="J19" s="29" t="s">
        <v>26</v>
      </c>
      <c r="K19" s="29" t="s">
        <v>27</v>
      </c>
    </row>
    <row r="20" ht="18.0" customHeight="1">
      <c r="B20" s="30" t="str">
        <f>Categories!B5</f>
        <v>Housing</v>
      </c>
      <c r="C20" s="31">
        <f>Categories!C5</f>
        <v>1700</v>
      </c>
      <c r="D20" s="32">
        <f>Categories!D5</f>
        <v>1665.4</v>
      </c>
      <c r="E20" s="33">
        <f>IFERROR(Categories!D5/Categories!C5,0)</f>
        <v>0.9796470588</v>
      </c>
      <c r="G20" s="30" t="str">
        <f>Monthly!B5</f>
        <v>Jul 2025</v>
      </c>
      <c r="H20" s="34">
        <f>Monthly!C5</f>
        <v>5800</v>
      </c>
      <c r="I20" s="35">
        <f>Monthly!D5</f>
        <v>4200</v>
      </c>
      <c r="J20" s="32">
        <f>Monthly!C5-Monthly!D5</f>
        <v>1600</v>
      </c>
      <c r="K20" s="36">
        <f>IFERROR((Monthly!C5-Monthly!D5)/Monthly!C5,0)</f>
        <v>0.275862069</v>
      </c>
    </row>
    <row r="21" ht="18.0" customHeight="1">
      <c r="B21" s="37" t="str">
        <f>Categories!B6</f>
        <v>Food &amp; Dining</v>
      </c>
      <c r="C21" s="38">
        <f>Categories!C6</f>
        <v>600</v>
      </c>
      <c r="D21" s="39">
        <f>Categories!D6</f>
        <v>419.4</v>
      </c>
      <c r="E21" s="40">
        <f>IFERROR(Categories!D6/Categories!C6,0)</f>
        <v>0.699</v>
      </c>
      <c r="G21" s="37" t="str">
        <f>Monthly!B6</f>
        <v>Aug 2025</v>
      </c>
      <c r="H21" s="41">
        <f>Monthly!C6</f>
        <v>5800</v>
      </c>
      <c r="I21" s="42">
        <f>Monthly!D6</f>
        <v>4450</v>
      </c>
      <c r="J21" s="39">
        <f>Monthly!C6-Monthly!D6</f>
        <v>1350</v>
      </c>
      <c r="K21" s="43">
        <f>IFERROR((Monthly!C6-Monthly!D6)/Monthly!C6,0)</f>
        <v>0.2327586207</v>
      </c>
    </row>
    <row r="22" ht="18.0" customHeight="1">
      <c r="B22" s="30" t="str">
        <f>Categories!B7</f>
        <v>Transportation</v>
      </c>
      <c r="C22" s="31">
        <f>Categories!C7</f>
        <v>400</v>
      </c>
      <c r="D22" s="32">
        <f>Categories!D7</f>
        <v>268.05</v>
      </c>
      <c r="E22" s="33">
        <f>IFERROR(Categories!D7/Categories!C7,0)</f>
        <v>0.670125</v>
      </c>
      <c r="G22" s="30" t="str">
        <f>Monthly!B7</f>
        <v>Sep 2025</v>
      </c>
      <c r="H22" s="34">
        <f>Monthly!C7</f>
        <v>6100</v>
      </c>
      <c r="I22" s="35">
        <f>Monthly!D7</f>
        <v>4380</v>
      </c>
      <c r="J22" s="32">
        <f>Monthly!C7-Monthly!D7</f>
        <v>1720</v>
      </c>
      <c r="K22" s="36">
        <f>IFERROR((Monthly!C7-Monthly!D7)/Monthly!C7,0)</f>
        <v>0.2819672131</v>
      </c>
    </row>
    <row r="23" ht="18.0" customHeight="1">
      <c r="B23" s="37" t="str">
        <f>Categories!B8</f>
        <v>Utilities</v>
      </c>
      <c r="C23" s="38">
        <f>Categories!C8</f>
        <v>280</v>
      </c>
      <c r="D23" s="39">
        <f>Categories!D8</f>
        <v>240.39</v>
      </c>
      <c r="E23" s="40">
        <f>IFERROR(Categories!D8/Categories!C8,0)</f>
        <v>0.8585357143</v>
      </c>
      <c r="G23" s="37" t="str">
        <f>Monthly!B8</f>
        <v>Oct 2025</v>
      </c>
      <c r="H23" s="41">
        <f>Monthly!C8</f>
        <v>5800</v>
      </c>
      <c r="I23" s="42">
        <f>Monthly!D8</f>
        <v>4720</v>
      </c>
      <c r="J23" s="39">
        <f>Monthly!C8-Monthly!D8</f>
        <v>1080</v>
      </c>
      <c r="K23" s="43">
        <f>IFERROR((Monthly!C8-Monthly!D8)/Monthly!C8,0)</f>
        <v>0.1862068966</v>
      </c>
    </row>
    <row r="24" ht="18.0" customHeight="1">
      <c r="B24" s="30" t="str">
        <f>Categories!B9</f>
        <v>Entertainment</v>
      </c>
      <c r="C24" s="31">
        <f>Categories!C9</f>
        <v>250</v>
      </c>
      <c r="D24" s="32">
        <f>Categories!D9</f>
        <v>251.48</v>
      </c>
      <c r="E24" s="33">
        <f>IFERROR(Categories!D9/Categories!C9,0)</f>
        <v>1.00592</v>
      </c>
      <c r="G24" s="30" t="str">
        <f>Monthly!B9</f>
        <v>Nov 2025</v>
      </c>
      <c r="H24" s="34">
        <f>Monthly!C9</f>
        <v>6300</v>
      </c>
      <c r="I24" s="35">
        <f>Monthly!D9</f>
        <v>4890</v>
      </c>
      <c r="J24" s="32">
        <f>Monthly!C9-Monthly!D9</f>
        <v>1410</v>
      </c>
      <c r="K24" s="36">
        <f>IFERROR((Monthly!C9-Monthly!D9)/Monthly!C9,0)</f>
        <v>0.2238095238</v>
      </c>
    </row>
    <row r="25" ht="18.0" customHeight="1">
      <c r="B25" s="37" t="str">
        <f>Categories!B10</f>
        <v>Shopping</v>
      </c>
      <c r="C25" s="38">
        <f>Categories!C10</f>
        <v>350</v>
      </c>
      <c r="D25" s="39">
        <f>Categories!D10</f>
        <v>281.79</v>
      </c>
      <c r="E25" s="40">
        <f>IFERROR(Categories!D10/Categories!C10,0)</f>
        <v>0.8051142857</v>
      </c>
      <c r="G25" s="37" t="str">
        <f>Monthly!B10</f>
        <v>Dec 2025</v>
      </c>
      <c r="H25" s="41">
        <f>Monthly!C10</f>
        <v>6800</v>
      </c>
      <c r="I25" s="42">
        <f>Monthly!D10</f>
        <v>5410</v>
      </c>
      <c r="J25" s="39">
        <f>Monthly!C10-Monthly!D10</f>
        <v>1390</v>
      </c>
      <c r="K25" s="43">
        <f>IFERROR((Monthly!C10-Monthly!D10)/Monthly!C10,0)</f>
        <v>0.2044117647</v>
      </c>
    </row>
    <row r="26" ht="18.0" customHeight="1">
      <c r="B26" s="30" t="str">
        <f>Categories!B11</f>
        <v>Healthcare</v>
      </c>
      <c r="C26" s="31">
        <f>Categories!C11</f>
        <v>200</v>
      </c>
      <c r="D26" s="32">
        <f>Categories!D11</f>
        <v>202.5</v>
      </c>
      <c r="E26" s="33">
        <f>IFERROR(Categories!D11/Categories!C11,0)</f>
        <v>1.0125</v>
      </c>
      <c r="G26" s="30" t="str">
        <f>Monthly!B11</f>
        <v>Jan 2026</v>
      </c>
      <c r="H26" s="34">
        <f>Monthly!C11</f>
        <v>5900</v>
      </c>
      <c r="I26" s="35">
        <f>Monthly!D11</f>
        <v>4350</v>
      </c>
      <c r="J26" s="32">
        <f>Monthly!C11-Monthly!D11</f>
        <v>1550</v>
      </c>
      <c r="K26" s="36">
        <f>IFERROR((Monthly!C11-Monthly!D11)/Monthly!C11,0)</f>
        <v>0.2627118644</v>
      </c>
    </row>
    <row r="27" ht="18.0" customHeight="1">
      <c r="B27" s="37" t="str">
        <f>Categories!B12</f>
        <v>Education</v>
      </c>
      <c r="C27" s="38">
        <f>Categories!C12</f>
        <v>150</v>
      </c>
      <c r="D27" s="39">
        <f>Categories!D12</f>
        <v>137.99</v>
      </c>
      <c r="E27" s="40">
        <f>IFERROR(Categories!D12/Categories!C12,0)</f>
        <v>0.9199333333</v>
      </c>
      <c r="G27" s="37" t="str">
        <f>Monthly!B12</f>
        <v>Feb 2026</v>
      </c>
      <c r="H27" s="41">
        <f>Monthly!C12</f>
        <v>6050</v>
      </c>
      <c r="I27" s="42">
        <f>Monthly!D12</f>
        <v>4180</v>
      </c>
      <c r="J27" s="39">
        <f>Monthly!C12-Monthly!D12</f>
        <v>1870</v>
      </c>
      <c r="K27" s="43">
        <f>IFERROR((Monthly!C12-Monthly!D12)/Monthly!C12,0)</f>
        <v>0.3090909091</v>
      </c>
    </row>
    <row r="28" ht="18.0" customHeight="1">
      <c r="B28" s="30" t="str">
        <f>Categories!B13</f>
        <v>Miscellaneous</v>
      </c>
      <c r="C28" s="31">
        <f>Categories!C13</f>
        <v>200</v>
      </c>
      <c r="D28" s="32">
        <f>Categories!D13</f>
        <v>180</v>
      </c>
      <c r="E28" s="33">
        <f>IFERROR(Categories!D13/Categories!C13,0)</f>
        <v>0.9</v>
      </c>
      <c r="G28" s="30" t="str">
        <f>Monthly!B13</f>
        <v>Mar 2026</v>
      </c>
      <c r="H28" s="34">
        <f>Monthly!C13</f>
        <v>6200</v>
      </c>
      <c r="I28" s="35">
        <f>Monthly!D13</f>
        <v>4520</v>
      </c>
      <c r="J28" s="32">
        <f>Monthly!C13-Monthly!D13</f>
        <v>1680</v>
      </c>
      <c r="K28" s="36">
        <f>IFERROR((Monthly!C13-Monthly!D13)/Monthly!C13,0)</f>
        <v>0.2709677419</v>
      </c>
    </row>
    <row r="29" ht="18.0" customHeight="1">
      <c r="B29" s="37" t="str">
        <f>Categories!B14</f>
        <v>Savings Goal</v>
      </c>
      <c r="C29" s="38">
        <f>Categories!C14</f>
        <v>800</v>
      </c>
      <c r="D29" s="39">
        <f>Categories!D14</f>
        <v>3688.5</v>
      </c>
      <c r="E29" s="40">
        <f>IFERROR(Categories!D14/Categories!C14,0)</f>
        <v>4.610625</v>
      </c>
      <c r="G29" s="37" t="str">
        <f>Monthly!B14</f>
        <v>Apr 2026</v>
      </c>
      <c r="H29" s="41">
        <f>Monthly!C14</f>
        <v>7335</v>
      </c>
      <c r="I29" s="42">
        <f>Monthly!D14</f>
        <v>4150</v>
      </c>
      <c r="J29" s="39">
        <f>Monthly!C14-Monthly!D14</f>
        <v>3185</v>
      </c>
      <c r="K29" s="43">
        <f>IFERROR((Monthly!C14-Monthly!D14)/Monthly!C14,0)</f>
        <v>0.4342194956</v>
      </c>
    </row>
    <row r="30" ht="21.75" customHeight="1">
      <c r="B30" s="44" t="s">
        <v>28</v>
      </c>
      <c r="C30" s="45">
        <f t="shared" ref="C30:D30" si="1">SUM(C20:C29)</f>
        <v>4930</v>
      </c>
      <c r="D30" s="45">
        <f t="shared" si="1"/>
        <v>7335.5</v>
      </c>
      <c r="E30" s="46">
        <f>IFERROR(D30/C30,0)</f>
        <v>1.487931034</v>
      </c>
      <c r="G30" s="44" t="s">
        <v>28</v>
      </c>
      <c r="H30" s="45">
        <f t="shared" ref="H30:I30" si="2">SUM(H20:H29)</f>
        <v>62085</v>
      </c>
      <c r="I30" s="45">
        <f t="shared" si="2"/>
        <v>45250</v>
      </c>
      <c r="J30" s="45">
        <f>H30-I30</f>
        <v>16835</v>
      </c>
      <c r="K30" s="46">
        <f>IFERROR(J30/H30,0)</f>
        <v>0.2711605058</v>
      </c>
    </row>
    <row r="31" ht="15.75" customHeight="1"/>
    <row r="32" ht="7.5" customHeight="1"/>
    <row r="33" ht="30.0" customHeight="1">
      <c r="B33" s="28" t="s">
        <v>29</v>
      </c>
      <c r="C33" s="3"/>
      <c r="D33" s="3"/>
      <c r="E33" s="3"/>
      <c r="F33" s="3"/>
      <c r="G33" s="3"/>
      <c r="H33" s="3"/>
      <c r="I33" s="3"/>
      <c r="J33" s="3"/>
      <c r="K33" s="4"/>
    </row>
    <row r="34" ht="6.0" customHeight="1"/>
    <row r="35" ht="21.75" customHeight="1">
      <c r="B35" s="6" t="s">
        <v>30</v>
      </c>
      <c r="C35" s="3"/>
      <c r="D35" s="4"/>
      <c r="E35" s="20" t="s">
        <v>31</v>
      </c>
      <c r="F35" s="3"/>
      <c r="G35" s="4"/>
      <c r="H35" s="9" t="s">
        <v>32</v>
      </c>
      <c r="I35" s="3"/>
      <c r="J35" s="3"/>
      <c r="K35" s="4"/>
    </row>
    <row r="36" ht="49.5" customHeight="1">
      <c r="B36" s="47" t="str">
        <f>IF(J6&gt;0.2,"EXCELLENT - You're saving over 20% of income, building wealth efficiently.",IF(J6&gt;0.1,"GOOD - Solid savings rate. Consider increasing to 20%+ for stronger growth.",IF(J6&gt;0,"FAIR - Positive but tight. Review discretionary spending.","ALERT - Spending exceeds income. Immediate budget review needed.")))</f>
        <v>EXCELLENT - You're saving over 20% of income, building wealth efficiently.</v>
      </c>
      <c r="C36" s="3"/>
      <c r="D36" s="4"/>
      <c r="E36" s="47" t="str">
        <f>IF(B12&lt;0.8,"ON TRACK - Spending well within budget limits.",IF(B12&lt;1,"CAUTION - Approaching budget ceiling. Monitor closely.","OVER BUDGET - Exceeded planned limits. Adjust required."))</f>
        <v>ON TRACK - Spending well within budget limits.</v>
      </c>
      <c r="F36" s="3"/>
      <c r="G36" s="4"/>
      <c r="H36" s="47" t="str">
        <f t="array" ref="H36">"Focus on "&amp;INDEX(Categories!B5:B14,MATCH(MAX(Categories!D5:D14),Categories!D5:D14,0))&amp;" - your highest spending category at $"&amp;TEXT(MAX(Categories!D5:D14),"#,##0")&amp;"."</f>
        <v>Focus on Savings Goal - your highest spending category at $3,689.</v>
      </c>
      <c r="I36" s="3"/>
      <c r="J36" s="3"/>
      <c r="K36" s="4"/>
    </row>
    <row r="37" ht="6.0" customHeight="1"/>
    <row r="38" ht="24.75" customHeight="1">
      <c r="B38" s="48" t="s">
        <v>33</v>
      </c>
      <c r="C38" s="3"/>
      <c r="D38" s="3"/>
      <c r="E38" s="3"/>
      <c r="F38" s="3"/>
      <c r="G38" s="3"/>
      <c r="H38" s="3"/>
      <c r="I38" s="3"/>
      <c r="J38" s="3"/>
      <c r="K38" s="4"/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G5:H5"/>
    <mergeCell ref="G6:H6"/>
    <mergeCell ref="G7:H7"/>
    <mergeCell ref="J7:K7"/>
    <mergeCell ref="G8:H8"/>
    <mergeCell ref="J8:K8"/>
    <mergeCell ref="G11:H11"/>
    <mergeCell ref="J11:K11"/>
    <mergeCell ref="B2:K2"/>
    <mergeCell ref="B3:K3"/>
    <mergeCell ref="B5:C5"/>
    <mergeCell ref="D5:E5"/>
    <mergeCell ref="J5:K5"/>
    <mergeCell ref="D6:E6"/>
    <mergeCell ref="J6:K6"/>
    <mergeCell ref="B12:C12"/>
    <mergeCell ref="D12:E12"/>
    <mergeCell ref="G12:H12"/>
    <mergeCell ref="J12:K12"/>
    <mergeCell ref="B6:C6"/>
    <mergeCell ref="B7:C7"/>
    <mergeCell ref="D7:E7"/>
    <mergeCell ref="B8:C8"/>
    <mergeCell ref="D8:E8"/>
    <mergeCell ref="B11:C11"/>
    <mergeCell ref="D11:E11"/>
    <mergeCell ref="B13:C13"/>
    <mergeCell ref="D13:E13"/>
    <mergeCell ref="G13:H13"/>
    <mergeCell ref="J13:K13"/>
    <mergeCell ref="B14:C14"/>
    <mergeCell ref="G14:H14"/>
    <mergeCell ref="J14:K14"/>
    <mergeCell ref="B36:D36"/>
    <mergeCell ref="E36:G36"/>
    <mergeCell ref="H36:K36"/>
    <mergeCell ref="B38:K38"/>
    <mergeCell ref="D14:E14"/>
    <mergeCell ref="B17:F17"/>
    <mergeCell ref="G17:K17"/>
    <mergeCell ref="B33:K33"/>
    <mergeCell ref="B35:D35"/>
    <mergeCell ref="E35:G35"/>
    <mergeCell ref="H35:K35"/>
  </mergeCells>
  <conditionalFormatting sqref="D20:D29">
    <cfRule type="colorScale" priority="1">
      <colorScale>
        <cfvo type="min"/>
        <cfvo type="percentile" val="50"/>
        <cfvo type="max"/>
        <color rgb="FFDCFCE7"/>
        <color rgb="FFFED7AA"/>
        <color rgb="FFFECACA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12.0"/>
    <col customWidth="1" min="3" max="3" width="30.0"/>
    <col customWidth="1" min="4" max="4" width="18.0"/>
    <col customWidth="1" min="5" max="5" width="12.0"/>
    <col customWidth="1" min="6" max="6" width="14.0"/>
    <col customWidth="1" min="7" max="7" width="18.0"/>
    <col customWidth="1" min="8" max="8" width="30.0"/>
    <col customWidth="1" min="9" max="26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</row>
    <row r="2" ht="39.75" customHeight="1">
      <c r="B2" s="49" t="s">
        <v>34</v>
      </c>
      <c r="C2" s="3"/>
      <c r="D2" s="3"/>
      <c r="E2" s="3"/>
      <c r="F2" s="3"/>
      <c r="G2" s="3"/>
      <c r="H2" s="4"/>
    </row>
    <row r="3" ht="21.75" customHeight="1">
      <c r="B3" s="50" t="s">
        <v>35</v>
      </c>
      <c r="C3" s="3"/>
      <c r="D3" s="3"/>
      <c r="E3" s="3"/>
      <c r="F3" s="3"/>
      <c r="G3" s="3"/>
      <c r="H3" s="4"/>
    </row>
    <row r="4" ht="27.75" customHeight="1">
      <c r="B4" s="51" t="s">
        <v>36</v>
      </c>
      <c r="C4" s="51" t="s">
        <v>37</v>
      </c>
      <c r="D4" s="51" t="s">
        <v>19</v>
      </c>
      <c r="E4" s="51" t="s">
        <v>38</v>
      </c>
      <c r="F4" s="51" t="s">
        <v>39</v>
      </c>
      <c r="G4" s="51" t="s">
        <v>40</v>
      </c>
      <c r="H4" s="51" t="s">
        <v>41</v>
      </c>
    </row>
    <row r="5" ht="18.0" customHeight="1">
      <c r="B5" s="52" t="s">
        <v>42</v>
      </c>
      <c r="C5" s="30" t="s">
        <v>43</v>
      </c>
      <c r="D5" s="30" t="s">
        <v>44</v>
      </c>
      <c r="E5" s="53" t="s">
        <v>24</v>
      </c>
      <c r="F5" s="54">
        <v>5500.0</v>
      </c>
      <c r="G5" s="30" t="s">
        <v>45</v>
      </c>
      <c r="H5" s="55" t="s">
        <v>46</v>
      </c>
    </row>
    <row r="6" ht="18.0" customHeight="1">
      <c r="B6" s="56" t="s">
        <v>42</v>
      </c>
      <c r="C6" s="37" t="s">
        <v>47</v>
      </c>
      <c r="D6" s="37" t="s">
        <v>48</v>
      </c>
      <c r="E6" s="57" t="s">
        <v>49</v>
      </c>
      <c r="F6" s="58">
        <v>1450.0</v>
      </c>
      <c r="G6" s="37" t="s">
        <v>50</v>
      </c>
      <c r="H6" s="59" t="s">
        <v>51</v>
      </c>
    </row>
    <row r="7" ht="18.0" customHeight="1">
      <c r="B7" s="52" t="s">
        <v>52</v>
      </c>
      <c r="C7" s="30" t="s">
        <v>53</v>
      </c>
      <c r="D7" s="30" t="s">
        <v>54</v>
      </c>
      <c r="E7" s="60" t="s">
        <v>49</v>
      </c>
      <c r="F7" s="54">
        <v>142.5</v>
      </c>
      <c r="G7" s="30" t="s">
        <v>55</v>
      </c>
      <c r="H7" s="55" t="s">
        <v>56</v>
      </c>
    </row>
    <row r="8" ht="18.0" customHeight="1">
      <c r="B8" s="56" t="s">
        <v>57</v>
      </c>
      <c r="C8" s="37" t="s">
        <v>58</v>
      </c>
      <c r="D8" s="37" t="s">
        <v>59</v>
      </c>
      <c r="E8" s="57" t="s">
        <v>49</v>
      </c>
      <c r="F8" s="58">
        <v>58.75</v>
      </c>
      <c r="G8" s="37" t="s">
        <v>55</v>
      </c>
      <c r="H8" s="59"/>
    </row>
    <row r="9" ht="18.0" customHeight="1">
      <c r="B9" s="52" t="s">
        <v>60</v>
      </c>
      <c r="C9" s="30" t="s">
        <v>61</v>
      </c>
      <c r="D9" s="30" t="s">
        <v>62</v>
      </c>
      <c r="E9" s="60" t="s">
        <v>49</v>
      </c>
      <c r="F9" s="54">
        <v>15.99</v>
      </c>
      <c r="G9" s="30" t="s">
        <v>55</v>
      </c>
      <c r="H9" s="55" t="s">
        <v>63</v>
      </c>
    </row>
    <row r="10" ht="18.0" customHeight="1">
      <c r="B10" s="56" t="s">
        <v>64</v>
      </c>
      <c r="C10" s="37" t="s">
        <v>65</v>
      </c>
      <c r="D10" s="37" t="s">
        <v>66</v>
      </c>
      <c r="E10" s="57" t="s">
        <v>49</v>
      </c>
      <c r="F10" s="58">
        <v>95.4</v>
      </c>
      <c r="G10" s="37" t="s">
        <v>50</v>
      </c>
      <c r="H10" s="59" t="s">
        <v>67</v>
      </c>
    </row>
    <row r="11" ht="18.0" customHeight="1">
      <c r="B11" s="52" t="s">
        <v>68</v>
      </c>
      <c r="C11" s="30" t="s">
        <v>69</v>
      </c>
      <c r="D11" s="30" t="s">
        <v>54</v>
      </c>
      <c r="E11" s="60" t="s">
        <v>49</v>
      </c>
      <c r="F11" s="54">
        <v>78.25</v>
      </c>
      <c r="G11" s="30" t="s">
        <v>55</v>
      </c>
      <c r="H11" s="55" t="s">
        <v>70</v>
      </c>
    </row>
    <row r="12" ht="18.0" customHeight="1">
      <c r="B12" s="56" t="s">
        <v>71</v>
      </c>
      <c r="C12" s="37" t="s">
        <v>72</v>
      </c>
      <c r="D12" s="37" t="s">
        <v>66</v>
      </c>
      <c r="E12" s="57" t="s">
        <v>49</v>
      </c>
      <c r="F12" s="58">
        <v>79.99</v>
      </c>
      <c r="G12" s="37" t="s">
        <v>73</v>
      </c>
      <c r="H12" s="59" t="s">
        <v>74</v>
      </c>
    </row>
    <row r="13" ht="18.0" customHeight="1">
      <c r="B13" s="52" t="s">
        <v>75</v>
      </c>
      <c r="C13" s="30" t="s">
        <v>76</v>
      </c>
      <c r="D13" s="30" t="s">
        <v>77</v>
      </c>
      <c r="E13" s="53" t="s">
        <v>24</v>
      </c>
      <c r="F13" s="54">
        <v>850.0</v>
      </c>
      <c r="G13" s="30" t="s">
        <v>78</v>
      </c>
      <c r="H13" s="55" t="s">
        <v>79</v>
      </c>
    </row>
    <row r="14" ht="18.0" customHeight="1">
      <c r="B14" s="56" t="s">
        <v>80</v>
      </c>
      <c r="C14" s="37" t="s">
        <v>81</v>
      </c>
      <c r="D14" s="37" t="s">
        <v>82</v>
      </c>
      <c r="E14" s="57" t="s">
        <v>49</v>
      </c>
      <c r="F14" s="58">
        <v>32.5</v>
      </c>
      <c r="G14" s="37" t="s">
        <v>83</v>
      </c>
      <c r="H14" s="59" t="s">
        <v>84</v>
      </c>
    </row>
    <row r="15" ht="18.0" customHeight="1">
      <c r="B15" s="52" t="s">
        <v>85</v>
      </c>
      <c r="C15" s="30" t="s">
        <v>86</v>
      </c>
      <c r="D15" s="30" t="s">
        <v>54</v>
      </c>
      <c r="E15" s="60" t="s">
        <v>49</v>
      </c>
      <c r="F15" s="54">
        <v>18.75</v>
      </c>
      <c r="G15" s="30" t="s">
        <v>55</v>
      </c>
      <c r="H15" s="55" t="s">
        <v>87</v>
      </c>
    </row>
    <row r="16" ht="18.0" customHeight="1">
      <c r="B16" s="56" t="s">
        <v>88</v>
      </c>
      <c r="C16" s="37" t="s">
        <v>89</v>
      </c>
      <c r="D16" s="37" t="s">
        <v>90</v>
      </c>
      <c r="E16" s="57" t="s">
        <v>49</v>
      </c>
      <c r="F16" s="58">
        <v>124.99</v>
      </c>
      <c r="G16" s="37" t="s">
        <v>55</v>
      </c>
      <c r="H16" s="59" t="s">
        <v>91</v>
      </c>
    </row>
    <row r="17" ht="18.0" customHeight="1">
      <c r="B17" s="52" t="s">
        <v>92</v>
      </c>
      <c r="C17" s="30" t="s">
        <v>93</v>
      </c>
      <c r="D17" s="30" t="s">
        <v>82</v>
      </c>
      <c r="E17" s="60" t="s">
        <v>49</v>
      </c>
      <c r="F17" s="54">
        <v>45.0</v>
      </c>
      <c r="G17" s="30" t="s">
        <v>73</v>
      </c>
      <c r="H17" s="55" t="s">
        <v>94</v>
      </c>
    </row>
    <row r="18" ht="18.0" customHeight="1">
      <c r="B18" s="56" t="s">
        <v>95</v>
      </c>
      <c r="C18" s="37" t="s">
        <v>96</v>
      </c>
      <c r="D18" s="37" t="s">
        <v>59</v>
      </c>
      <c r="E18" s="57" t="s">
        <v>49</v>
      </c>
      <c r="F18" s="58">
        <v>67.3</v>
      </c>
      <c r="G18" s="37" t="s">
        <v>55</v>
      </c>
      <c r="H18" s="59" t="s">
        <v>97</v>
      </c>
    </row>
    <row r="19" ht="18.0" customHeight="1">
      <c r="B19" s="52" t="s">
        <v>98</v>
      </c>
      <c r="C19" s="30" t="s">
        <v>99</v>
      </c>
      <c r="D19" s="30" t="s">
        <v>66</v>
      </c>
      <c r="E19" s="60" t="s">
        <v>49</v>
      </c>
      <c r="F19" s="54">
        <v>65.0</v>
      </c>
      <c r="G19" s="30" t="s">
        <v>73</v>
      </c>
      <c r="H19" s="55" t="s">
        <v>100</v>
      </c>
    </row>
    <row r="20" ht="18.0" customHeight="1">
      <c r="B20" s="56" t="s">
        <v>101</v>
      </c>
      <c r="C20" s="37" t="s">
        <v>102</v>
      </c>
      <c r="D20" s="37" t="s">
        <v>103</v>
      </c>
      <c r="E20" s="61" t="s">
        <v>24</v>
      </c>
      <c r="F20" s="58">
        <v>235.5</v>
      </c>
      <c r="G20" s="37" t="s">
        <v>50</v>
      </c>
      <c r="H20" s="59" t="s">
        <v>104</v>
      </c>
    </row>
    <row r="21" ht="18.0" customHeight="1">
      <c r="B21" s="52" t="s">
        <v>105</v>
      </c>
      <c r="C21" s="30" t="s">
        <v>106</v>
      </c>
      <c r="D21" s="30" t="s">
        <v>62</v>
      </c>
      <c r="E21" s="60" t="s">
        <v>49</v>
      </c>
      <c r="F21" s="54">
        <v>38.5</v>
      </c>
      <c r="G21" s="30" t="s">
        <v>55</v>
      </c>
      <c r="H21" s="55" t="s">
        <v>107</v>
      </c>
    </row>
    <row r="22" ht="18.0" customHeight="1">
      <c r="B22" s="56" t="s">
        <v>108</v>
      </c>
      <c r="C22" s="37" t="s">
        <v>109</v>
      </c>
      <c r="D22" s="37" t="s">
        <v>54</v>
      </c>
      <c r="E22" s="57" t="s">
        <v>49</v>
      </c>
      <c r="F22" s="58">
        <v>87.4</v>
      </c>
      <c r="G22" s="37" t="s">
        <v>55</v>
      </c>
      <c r="H22" s="59" t="s">
        <v>110</v>
      </c>
    </row>
    <row r="23" ht="18.0" customHeight="1">
      <c r="B23" s="52" t="s">
        <v>111</v>
      </c>
      <c r="C23" s="30" t="s">
        <v>112</v>
      </c>
      <c r="D23" s="30" t="s">
        <v>62</v>
      </c>
      <c r="E23" s="60" t="s">
        <v>49</v>
      </c>
      <c r="F23" s="54">
        <v>185.0</v>
      </c>
      <c r="G23" s="30" t="s">
        <v>55</v>
      </c>
      <c r="H23" s="55" t="s">
        <v>113</v>
      </c>
    </row>
    <row r="24" ht="18.0" customHeight="1">
      <c r="B24" s="56" t="s">
        <v>114</v>
      </c>
      <c r="C24" s="37" t="s">
        <v>115</v>
      </c>
      <c r="D24" s="37" t="s">
        <v>82</v>
      </c>
      <c r="E24" s="57" t="s">
        <v>49</v>
      </c>
      <c r="F24" s="58">
        <v>125.0</v>
      </c>
      <c r="G24" s="37" t="s">
        <v>83</v>
      </c>
      <c r="H24" s="59" t="s">
        <v>116</v>
      </c>
    </row>
    <row r="25" ht="18.0" customHeight="1">
      <c r="B25" s="52" t="s">
        <v>117</v>
      </c>
      <c r="C25" s="30" t="s">
        <v>118</v>
      </c>
      <c r="D25" s="30" t="s">
        <v>90</v>
      </c>
      <c r="E25" s="60" t="s">
        <v>49</v>
      </c>
      <c r="F25" s="54">
        <v>156.8</v>
      </c>
      <c r="G25" s="30" t="s">
        <v>55</v>
      </c>
      <c r="H25" s="55" t="s">
        <v>119</v>
      </c>
    </row>
    <row r="26" ht="18.0" customHeight="1">
      <c r="B26" s="56" t="s">
        <v>120</v>
      </c>
      <c r="C26" s="37" t="s">
        <v>121</v>
      </c>
      <c r="D26" s="37" t="s">
        <v>59</v>
      </c>
      <c r="E26" s="57" t="s">
        <v>49</v>
      </c>
      <c r="F26" s="58">
        <v>142.0</v>
      </c>
      <c r="G26" s="37" t="s">
        <v>73</v>
      </c>
      <c r="H26" s="59" t="s">
        <v>122</v>
      </c>
    </row>
    <row r="27" ht="18.0" customHeight="1">
      <c r="B27" s="52" t="s">
        <v>123</v>
      </c>
      <c r="C27" s="30" t="s">
        <v>124</v>
      </c>
      <c r="D27" s="30" t="s">
        <v>125</v>
      </c>
      <c r="E27" s="60" t="s">
        <v>49</v>
      </c>
      <c r="F27" s="54">
        <v>48.99</v>
      </c>
      <c r="G27" s="30" t="s">
        <v>55</v>
      </c>
      <c r="H27" s="55" t="s">
        <v>126</v>
      </c>
    </row>
    <row r="28" ht="18.0" customHeight="1">
      <c r="B28" s="56" t="s">
        <v>127</v>
      </c>
      <c r="C28" s="37" t="s">
        <v>128</v>
      </c>
      <c r="D28" s="37" t="s">
        <v>129</v>
      </c>
      <c r="E28" s="57" t="s">
        <v>49</v>
      </c>
      <c r="F28" s="58">
        <v>80.0</v>
      </c>
      <c r="G28" s="37" t="s">
        <v>130</v>
      </c>
      <c r="H28" s="59" t="s">
        <v>131</v>
      </c>
    </row>
    <row r="29" ht="18.0" customHeight="1">
      <c r="B29" s="52" t="s">
        <v>132</v>
      </c>
      <c r="C29" s="30" t="s">
        <v>133</v>
      </c>
      <c r="D29" s="30" t="s">
        <v>54</v>
      </c>
      <c r="E29" s="60" t="s">
        <v>49</v>
      </c>
      <c r="F29" s="54">
        <v>92.5</v>
      </c>
      <c r="G29" s="30" t="s">
        <v>55</v>
      </c>
      <c r="H29" s="55" t="s">
        <v>134</v>
      </c>
    </row>
    <row r="30" ht="18.0" customHeight="1">
      <c r="B30" s="56" t="s">
        <v>135</v>
      </c>
      <c r="C30" s="37" t="s">
        <v>136</v>
      </c>
      <c r="D30" s="37" t="s">
        <v>125</v>
      </c>
      <c r="E30" s="57" t="s">
        <v>49</v>
      </c>
      <c r="F30" s="58">
        <v>89.0</v>
      </c>
      <c r="G30" s="37" t="s">
        <v>55</v>
      </c>
      <c r="H30" s="59" t="s">
        <v>137</v>
      </c>
    </row>
    <row r="31" ht="18.0" customHeight="1">
      <c r="B31" s="52" t="s">
        <v>138</v>
      </c>
      <c r="C31" s="30" t="s">
        <v>139</v>
      </c>
      <c r="D31" s="30" t="s">
        <v>48</v>
      </c>
      <c r="E31" s="60" t="s">
        <v>49</v>
      </c>
      <c r="F31" s="54">
        <v>215.4</v>
      </c>
      <c r="G31" s="30" t="s">
        <v>55</v>
      </c>
      <c r="H31" s="55" t="s">
        <v>140</v>
      </c>
    </row>
    <row r="32" ht="18.0" customHeight="1">
      <c r="B32" s="56" t="s">
        <v>141</v>
      </c>
      <c r="C32" s="37" t="s">
        <v>142</v>
      </c>
      <c r="D32" s="37" t="s">
        <v>62</v>
      </c>
      <c r="E32" s="57" t="s">
        <v>49</v>
      </c>
      <c r="F32" s="58">
        <v>11.99</v>
      </c>
      <c r="G32" s="37" t="s">
        <v>73</v>
      </c>
      <c r="H32" s="59" t="s">
        <v>143</v>
      </c>
    </row>
    <row r="33" ht="18.0" customHeight="1">
      <c r="B33" s="52" t="s">
        <v>144</v>
      </c>
      <c r="C33" s="30" t="s">
        <v>145</v>
      </c>
      <c r="D33" s="30" t="s">
        <v>44</v>
      </c>
      <c r="E33" s="53" t="s">
        <v>24</v>
      </c>
      <c r="F33" s="54">
        <v>750.0</v>
      </c>
      <c r="G33" s="30" t="s">
        <v>45</v>
      </c>
      <c r="H33" s="55" t="s">
        <v>146</v>
      </c>
    </row>
    <row r="34" ht="18.0" customHeight="1">
      <c r="B34" s="56" t="s">
        <v>147</v>
      </c>
      <c r="C34" s="37" t="s">
        <v>148</v>
      </c>
      <c r="D34" s="37" t="s">
        <v>129</v>
      </c>
      <c r="E34" s="57" t="s">
        <v>49</v>
      </c>
      <c r="F34" s="58">
        <v>100.0</v>
      </c>
      <c r="G34" s="37" t="s">
        <v>50</v>
      </c>
      <c r="H34" s="59" t="s">
        <v>149</v>
      </c>
    </row>
    <row r="35" ht="15.75" customHeight="1"/>
    <row r="36" ht="25.5" customHeight="1">
      <c r="B36" s="62" t="s">
        <v>150</v>
      </c>
      <c r="C36" s="3"/>
      <c r="D36" s="4"/>
      <c r="E36" s="63" t="s">
        <v>151</v>
      </c>
      <c r="F36" s="64">
        <f>SUMIF(E5:E34,"Income",F5:F34)-SUMIF(E5:E34,"Expense",F5:F34)</f>
        <v>3688.5</v>
      </c>
      <c r="G36" s="65" t="s">
        <v>152</v>
      </c>
      <c r="H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H2"/>
    <mergeCell ref="B3:H3"/>
    <mergeCell ref="B36:D36"/>
    <mergeCell ref="G36:H36"/>
  </mergeCells>
  <conditionalFormatting sqref="E5:E34">
    <cfRule type="cellIs" dxfId="0" priority="1" operator="equal">
      <formula>"Income"</formula>
    </cfRule>
  </conditionalFormatting>
  <conditionalFormatting sqref="E5:E34">
    <cfRule type="cellIs" dxfId="1" priority="2" operator="equal">
      <formula>"Expense"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5" width="16.0"/>
    <col customWidth="1" min="6" max="6" width="14.0"/>
    <col customWidth="1" min="7" max="7" width="18.0"/>
    <col customWidth="1" min="8" max="8" width="30.0"/>
    <col customWidth="1" min="9" max="26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</row>
    <row r="2" ht="39.75" customHeight="1">
      <c r="B2" s="49" t="s">
        <v>153</v>
      </c>
      <c r="C2" s="3"/>
      <c r="D2" s="3"/>
      <c r="E2" s="3"/>
      <c r="F2" s="3"/>
      <c r="G2" s="3"/>
      <c r="H2" s="4"/>
    </row>
    <row r="3" ht="21.75" customHeight="1">
      <c r="B3" s="50" t="s">
        <v>154</v>
      </c>
      <c r="C3" s="3"/>
      <c r="D3" s="3"/>
      <c r="E3" s="3"/>
      <c r="F3" s="3"/>
      <c r="G3" s="3"/>
      <c r="H3" s="4"/>
    </row>
    <row r="4" ht="27.75" customHeight="1">
      <c r="B4" s="51" t="s">
        <v>19</v>
      </c>
      <c r="C4" s="51" t="s">
        <v>155</v>
      </c>
      <c r="D4" s="51" t="s">
        <v>156</v>
      </c>
      <c r="E4" s="51" t="s">
        <v>157</v>
      </c>
      <c r="F4" s="51" t="s">
        <v>22</v>
      </c>
      <c r="G4" s="51" t="s">
        <v>158</v>
      </c>
      <c r="H4" s="51" t="s">
        <v>159</v>
      </c>
    </row>
    <row r="5" ht="21.75" customHeight="1">
      <c r="B5" s="66" t="s">
        <v>48</v>
      </c>
      <c r="C5" s="67">
        <v>1700.0</v>
      </c>
      <c r="D5" s="68">
        <f>SUMIFS(Transactions!F:F,Transactions!D:D,B5,Transactions!E:E,"Expense")</f>
        <v>1665.4</v>
      </c>
      <c r="E5" s="69">
        <f t="shared" ref="E5:E15" si="1">C5-D5</f>
        <v>34.6</v>
      </c>
      <c r="F5" s="70">
        <f t="shared" ref="F5:F15" si="2">IFERROR(D5/C5,0)</f>
        <v>0.9796470588</v>
      </c>
      <c r="G5" s="71" t="str">
        <f t="shared" ref="G5:G14" si="3">IF(F5&gt;1,"⚠ OVER",IF(F5&gt;0.85,"⚡ NEAR LIMIT",IF(F5&gt;0.5,"✓ ON TRACK","◯ UNDER")))</f>
        <v>⚡ NEAR LIMIT</v>
      </c>
      <c r="H5" s="55" t="s">
        <v>160</v>
      </c>
    </row>
    <row r="6" ht="21.75" customHeight="1">
      <c r="B6" s="72" t="s">
        <v>54</v>
      </c>
      <c r="C6" s="73">
        <v>600.0</v>
      </c>
      <c r="D6" s="74">
        <f>SUMIFS(Transactions!F:F,Transactions!D:D,B6,Transactions!E:E,"Expense")</f>
        <v>419.4</v>
      </c>
      <c r="E6" s="75">
        <f t="shared" si="1"/>
        <v>180.6</v>
      </c>
      <c r="F6" s="76">
        <f t="shared" si="2"/>
        <v>0.699</v>
      </c>
      <c r="G6" s="77" t="str">
        <f t="shared" si="3"/>
        <v>✓ ON TRACK</v>
      </c>
      <c r="H6" s="59" t="s">
        <v>161</v>
      </c>
    </row>
    <row r="7" ht="21.75" customHeight="1">
      <c r="B7" s="66" t="s">
        <v>59</v>
      </c>
      <c r="C7" s="67">
        <v>400.0</v>
      </c>
      <c r="D7" s="68">
        <f>SUMIFS(Transactions!F:F,Transactions!D:D,B7,Transactions!E:E,"Expense")</f>
        <v>268.05</v>
      </c>
      <c r="E7" s="69">
        <f t="shared" si="1"/>
        <v>131.95</v>
      </c>
      <c r="F7" s="70">
        <f t="shared" si="2"/>
        <v>0.670125</v>
      </c>
      <c r="G7" s="71" t="str">
        <f t="shared" si="3"/>
        <v>✓ ON TRACK</v>
      </c>
      <c r="H7" s="55" t="s">
        <v>162</v>
      </c>
    </row>
    <row r="8" ht="21.75" customHeight="1">
      <c r="B8" s="72" t="s">
        <v>66</v>
      </c>
      <c r="C8" s="73">
        <v>280.0</v>
      </c>
      <c r="D8" s="74">
        <f>SUMIFS(Transactions!F:F,Transactions!D:D,B8,Transactions!E:E,"Expense")</f>
        <v>240.39</v>
      </c>
      <c r="E8" s="75">
        <f t="shared" si="1"/>
        <v>39.61</v>
      </c>
      <c r="F8" s="76">
        <f t="shared" si="2"/>
        <v>0.8585357143</v>
      </c>
      <c r="G8" s="77" t="str">
        <f t="shared" si="3"/>
        <v>⚡ NEAR LIMIT</v>
      </c>
      <c r="H8" s="59" t="s">
        <v>163</v>
      </c>
    </row>
    <row r="9" ht="21.75" customHeight="1">
      <c r="B9" s="66" t="s">
        <v>62</v>
      </c>
      <c r="C9" s="67">
        <v>250.0</v>
      </c>
      <c r="D9" s="68">
        <f>SUMIFS(Transactions!F:F,Transactions!D:D,B9,Transactions!E:E,"Expense")</f>
        <v>251.48</v>
      </c>
      <c r="E9" s="69">
        <f t="shared" si="1"/>
        <v>-1.48</v>
      </c>
      <c r="F9" s="70">
        <f t="shared" si="2"/>
        <v>1.00592</v>
      </c>
      <c r="G9" s="71" t="str">
        <f t="shared" si="3"/>
        <v>⚠ OVER</v>
      </c>
      <c r="H9" s="55" t="s">
        <v>164</v>
      </c>
    </row>
    <row r="10" ht="21.75" customHeight="1">
      <c r="B10" s="72" t="s">
        <v>90</v>
      </c>
      <c r="C10" s="73">
        <v>350.0</v>
      </c>
      <c r="D10" s="74">
        <f>SUMIFS(Transactions!F:F,Transactions!D:D,B10,Transactions!E:E,"Expense")</f>
        <v>281.79</v>
      </c>
      <c r="E10" s="75">
        <f t="shared" si="1"/>
        <v>68.21</v>
      </c>
      <c r="F10" s="76">
        <f t="shared" si="2"/>
        <v>0.8051142857</v>
      </c>
      <c r="G10" s="77" t="str">
        <f t="shared" si="3"/>
        <v>✓ ON TRACK</v>
      </c>
      <c r="H10" s="59" t="s">
        <v>165</v>
      </c>
    </row>
    <row r="11" ht="21.75" customHeight="1">
      <c r="B11" s="66" t="s">
        <v>82</v>
      </c>
      <c r="C11" s="67">
        <v>200.0</v>
      </c>
      <c r="D11" s="68">
        <f>SUMIFS(Transactions!F:F,Transactions!D:D,B11,Transactions!E:E,"Expense")</f>
        <v>202.5</v>
      </c>
      <c r="E11" s="69">
        <f t="shared" si="1"/>
        <v>-2.5</v>
      </c>
      <c r="F11" s="70">
        <f t="shared" si="2"/>
        <v>1.0125</v>
      </c>
      <c r="G11" s="71" t="str">
        <f t="shared" si="3"/>
        <v>⚠ OVER</v>
      </c>
      <c r="H11" s="55" t="s">
        <v>166</v>
      </c>
    </row>
    <row r="12" ht="21.75" customHeight="1">
      <c r="B12" s="72" t="s">
        <v>125</v>
      </c>
      <c r="C12" s="73">
        <v>150.0</v>
      </c>
      <c r="D12" s="74">
        <f>SUMIFS(Transactions!F:F,Transactions!D:D,B12,Transactions!E:E,"Expense")</f>
        <v>137.99</v>
      </c>
      <c r="E12" s="75">
        <f t="shared" si="1"/>
        <v>12.01</v>
      </c>
      <c r="F12" s="76">
        <f t="shared" si="2"/>
        <v>0.9199333333</v>
      </c>
      <c r="G12" s="77" t="str">
        <f t="shared" si="3"/>
        <v>⚡ NEAR LIMIT</v>
      </c>
      <c r="H12" s="59" t="s">
        <v>167</v>
      </c>
    </row>
    <row r="13" ht="21.75" customHeight="1">
      <c r="B13" s="66" t="s">
        <v>129</v>
      </c>
      <c r="C13" s="67">
        <v>200.0</v>
      </c>
      <c r="D13" s="68">
        <f>SUMIFS(Transactions!F:F,Transactions!D:D,B13,Transactions!E:E,"Expense")</f>
        <v>180</v>
      </c>
      <c r="E13" s="69">
        <f t="shared" si="1"/>
        <v>20</v>
      </c>
      <c r="F13" s="70">
        <f t="shared" si="2"/>
        <v>0.9</v>
      </c>
      <c r="G13" s="71" t="str">
        <f t="shared" si="3"/>
        <v>⚡ NEAR LIMIT</v>
      </c>
      <c r="H13" s="55" t="s">
        <v>168</v>
      </c>
    </row>
    <row r="14" ht="21.75" customHeight="1">
      <c r="B14" s="72" t="s">
        <v>169</v>
      </c>
      <c r="C14" s="73">
        <v>800.0</v>
      </c>
      <c r="D14" s="74">
        <f>MAX(0,Dashboard!G6)</f>
        <v>3688.5</v>
      </c>
      <c r="E14" s="75">
        <f t="shared" si="1"/>
        <v>-2888.5</v>
      </c>
      <c r="F14" s="76">
        <f t="shared" si="2"/>
        <v>4.610625</v>
      </c>
      <c r="G14" s="77" t="str">
        <f t="shared" si="3"/>
        <v>⚠ OVER</v>
      </c>
      <c r="H14" s="59" t="s">
        <v>170</v>
      </c>
    </row>
    <row r="15" ht="27.75" customHeight="1">
      <c r="B15" s="78" t="s">
        <v>28</v>
      </c>
      <c r="C15" s="79">
        <f t="shared" ref="C15:D15" si="4">SUM(C5:C14)</f>
        <v>4930</v>
      </c>
      <c r="D15" s="79">
        <f t="shared" si="4"/>
        <v>7335.5</v>
      </c>
      <c r="E15" s="79">
        <f t="shared" si="1"/>
        <v>-2405.5</v>
      </c>
      <c r="F15" s="80">
        <f t="shared" si="2"/>
        <v>1.487931034</v>
      </c>
      <c r="G15" s="81" t="s">
        <v>171</v>
      </c>
      <c r="H1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H2"/>
    <mergeCell ref="B3:H3"/>
    <mergeCell ref="G15:H15"/>
  </mergeCells>
  <conditionalFormatting sqref="E5:E14">
    <cfRule type="colorScale" priority="1">
      <colorScale>
        <cfvo type="min"/>
        <cfvo type="formula" val="0"/>
        <cfvo type="max"/>
        <color rgb="FFFECACA"/>
        <color rgb="FFFEF3C7"/>
        <color rgb="FFDCFCE7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7" width="18.0"/>
    <col customWidth="1" min="8" max="26" width="8.71"/>
  </cols>
  <sheetData>
    <row r="1" ht="6.0" customHeight="1">
      <c r="A1" s="1"/>
      <c r="B1" s="1"/>
      <c r="C1" s="1"/>
      <c r="D1" s="1"/>
      <c r="E1" s="1"/>
      <c r="F1" s="1"/>
      <c r="G1" s="1"/>
      <c r="H1" s="1"/>
    </row>
    <row r="2" ht="39.75" customHeight="1">
      <c r="B2" s="49" t="s">
        <v>172</v>
      </c>
      <c r="C2" s="3"/>
      <c r="D2" s="3"/>
      <c r="E2" s="3"/>
      <c r="F2" s="3"/>
      <c r="G2" s="4"/>
    </row>
    <row r="3" ht="21.75" customHeight="1">
      <c r="B3" s="50" t="s">
        <v>173</v>
      </c>
      <c r="C3" s="3"/>
      <c r="D3" s="3"/>
      <c r="E3" s="3"/>
      <c r="F3" s="3"/>
      <c r="G3" s="4"/>
    </row>
    <row r="4" ht="27.75" customHeight="1">
      <c r="B4" s="51" t="s">
        <v>19</v>
      </c>
      <c r="C4" s="51" t="s">
        <v>155</v>
      </c>
      <c r="D4" s="51" t="s">
        <v>174</v>
      </c>
      <c r="E4" s="51" t="s">
        <v>175</v>
      </c>
      <c r="F4" s="51" t="s">
        <v>176</v>
      </c>
      <c r="G4" s="51" t="s">
        <v>177</v>
      </c>
    </row>
    <row r="5" ht="21.75" customHeight="1">
      <c r="B5" s="66" t="str">
        <f>Categories!B5</f>
        <v>Housing</v>
      </c>
      <c r="C5" s="82">
        <f>Categories!C5</f>
        <v>1700</v>
      </c>
      <c r="D5" s="83">
        <f t="shared" ref="D5:D14" si="1">C5*3</f>
        <v>5100</v>
      </c>
      <c r="E5" s="68">
        <f t="shared" ref="E5:E14" si="2">C5*12</f>
        <v>20400</v>
      </c>
      <c r="F5" s="70">
        <f>IFERROR(C5/Dashboard!B6,0)</f>
        <v>0.2317497103</v>
      </c>
      <c r="G5" s="84" t="s">
        <v>178</v>
      </c>
    </row>
    <row r="6" ht="21.75" customHeight="1">
      <c r="B6" s="72" t="str">
        <f>Categories!B6</f>
        <v>Food &amp; Dining</v>
      </c>
      <c r="C6" s="85">
        <f>Categories!C6</f>
        <v>600</v>
      </c>
      <c r="D6" s="86">
        <f t="shared" si="1"/>
        <v>1800</v>
      </c>
      <c r="E6" s="74">
        <f t="shared" si="2"/>
        <v>7200</v>
      </c>
      <c r="F6" s="76">
        <f>IFERROR(C6/Dashboard!B6,0)</f>
        <v>0.0817940154</v>
      </c>
      <c r="G6" s="87" t="s">
        <v>178</v>
      </c>
    </row>
    <row r="7" ht="21.75" customHeight="1">
      <c r="B7" s="66" t="str">
        <f>Categories!B7</f>
        <v>Transportation</v>
      </c>
      <c r="C7" s="82">
        <f>Categories!C7</f>
        <v>400</v>
      </c>
      <c r="D7" s="83">
        <f t="shared" si="1"/>
        <v>1200</v>
      </c>
      <c r="E7" s="68">
        <f t="shared" si="2"/>
        <v>4800</v>
      </c>
      <c r="F7" s="70">
        <f>IFERROR(C7/Dashboard!B6,0)</f>
        <v>0.0545293436</v>
      </c>
      <c r="G7" s="84" t="s">
        <v>178</v>
      </c>
    </row>
    <row r="8" ht="21.75" customHeight="1">
      <c r="B8" s="72" t="str">
        <f>Categories!B8</f>
        <v>Utilities</v>
      </c>
      <c r="C8" s="85">
        <f>Categories!C8</f>
        <v>280</v>
      </c>
      <c r="D8" s="86">
        <f t="shared" si="1"/>
        <v>840</v>
      </c>
      <c r="E8" s="74">
        <f t="shared" si="2"/>
        <v>3360</v>
      </c>
      <c r="F8" s="76">
        <f>IFERROR(C8/Dashboard!B6,0)</f>
        <v>0.03817054052</v>
      </c>
      <c r="G8" s="87" t="s">
        <v>178</v>
      </c>
    </row>
    <row r="9" ht="21.75" customHeight="1">
      <c r="B9" s="66" t="str">
        <f>Categories!B9</f>
        <v>Entertainment</v>
      </c>
      <c r="C9" s="82">
        <f>Categories!C9</f>
        <v>250</v>
      </c>
      <c r="D9" s="83">
        <f t="shared" si="1"/>
        <v>750</v>
      </c>
      <c r="E9" s="68">
        <f t="shared" si="2"/>
        <v>3000</v>
      </c>
      <c r="F9" s="70">
        <f>IFERROR(C9/Dashboard!B6,0)</f>
        <v>0.03408083975</v>
      </c>
      <c r="G9" s="84" t="s">
        <v>178</v>
      </c>
    </row>
    <row r="10" ht="21.75" customHeight="1">
      <c r="B10" s="72" t="str">
        <f>Categories!B10</f>
        <v>Shopping</v>
      </c>
      <c r="C10" s="85">
        <f>Categories!C10</f>
        <v>350</v>
      </c>
      <c r="D10" s="86">
        <f t="shared" si="1"/>
        <v>1050</v>
      </c>
      <c r="E10" s="74">
        <f t="shared" si="2"/>
        <v>4200</v>
      </c>
      <c r="F10" s="76">
        <f>IFERROR(C10/Dashboard!B6,0)</f>
        <v>0.04771317565</v>
      </c>
      <c r="G10" s="88" t="s">
        <v>179</v>
      </c>
    </row>
    <row r="11" ht="21.75" customHeight="1">
      <c r="B11" s="66" t="str">
        <f>Categories!B11</f>
        <v>Healthcare</v>
      </c>
      <c r="C11" s="82">
        <f>Categories!C11</f>
        <v>200</v>
      </c>
      <c r="D11" s="83">
        <f t="shared" si="1"/>
        <v>600</v>
      </c>
      <c r="E11" s="68">
        <f t="shared" si="2"/>
        <v>2400</v>
      </c>
      <c r="F11" s="70">
        <f>IFERROR(C11/Dashboard!B6,0)</f>
        <v>0.0272646718</v>
      </c>
      <c r="G11" s="89" t="s">
        <v>179</v>
      </c>
    </row>
    <row r="12" ht="21.75" customHeight="1">
      <c r="B12" s="72" t="str">
        <f>Categories!B12</f>
        <v>Education</v>
      </c>
      <c r="C12" s="85">
        <f>Categories!C12</f>
        <v>150</v>
      </c>
      <c r="D12" s="86">
        <f t="shared" si="1"/>
        <v>450</v>
      </c>
      <c r="E12" s="74">
        <f t="shared" si="2"/>
        <v>1800</v>
      </c>
      <c r="F12" s="76">
        <f>IFERROR(C12/Dashboard!B6,0)</f>
        <v>0.02044850385</v>
      </c>
      <c r="G12" s="88" t="s">
        <v>179</v>
      </c>
    </row>
    <row r="13" ht="21.75" customHeight="1">
      <c r="B13" s="66" t="str">
        <f>Categories!B13</f>
        <v>Miscellaneous</v>
      </c>
      <c r="C13" s="82">
        <f>Categories!C13</f>
        <v>200</v>
      </c>
      <c r="D13" s="83">
        <f t="shared" si="1"/>
        <v>600</v>
      </c>
      <c r="E13" s="68">
        <f t="shared" si="2"/>
        <v>2400</v>
      </c>
      <c r="F13" s="70">
        <f>IFERROR(C13/Dashboard!B6,0)</f>
        <v>0.0272646718</v>
      </c>
      <c r="G13" s="89" t="s">
        <v>179</v>
      </c>
    </row>
    <row r="14" ht="21.75" customHeight="1">
      <c r="B14" s="72" t="str">
        <f>Categories!B14</f>
        <v>Savings Goal</v>
      </c>
      <c r="C14" s="85">
        <f>Categories!C14</f>
        <v>800</v>
      </c>
      <c r="D14" s="86">
        <f t="shared" si="1"/>
        <v>2400</v>
      </c>
      <c r="E14" s="74">
        <f t="shared" si="2"/>
        <v>9600</v>
      </c>
      <c r="F14" s="76">
        <f>IFERROR(C14/Dashboard!B6,0)</f>
        <v>0.1090586872</v>
      </c>
      <c r="G14" s="90" t="s">
        <v>180</v>
      </c>
    </row>
    <row r="15" ht="27.75" customHeight="1">
      <c r="B15" s="78" t="s">
        <v>181</v>
      </c>
      <c r="C15" s="79">
        <f t="shared" ref="C15:F15" si="3">SUM(C5:C14)</f>
        <v>4930</v>
      </c>
      <c r="D15" s="79">
        <f t="shared" si="3"/>
        <v>14790</v>
      </c>
      <c r="E15" s="79">
        <f t="shared" si="3"/>
        <v>59160</v>
      </c>
      <c r="F15" s="80">
        <f t="shared" si="3"/>
        <v>0.6720741599</v>
      </c>
      <c r="G15" s="63" t="s">
        <v>182</v>
      </c>
    </row>
    <row r="17" ht="7.5" customHeight="1"/>
    <row r="18" ht="30.0" customHeight="1">
      <c r="B18" s="28" t="s">
        <v>183</v>
      </c>
      <c r="C18" s="3"/>
      <c r="D18" s="3"/>
      <c r="E18" s="3"/>
      <c r="F18" s="3"/>
      <c r="G18" s="4"/>
    </row>
    <row r="19" ht="25.5" customHeight="1">
      <c r="B19" s="29" t="s">
        <v>19</v>
      </c>
      <c r="C19" s="29" t="s">
        <v>184</v>
      </c>
      <c r="D19" s="29" t="s">
        <v>185</v>
      </c>
      <c r="E19" s="29" t="s">
        <v>186</v>
      </c>
      <c r="F19" s="29" t="s">
        <v>158</v>
      </c>
      <c r="G19" s="29"/>
    </row>
    <row r="20" ht="24.0" customHeight="1">
      <c r="B20" s="66" t="s">
        <v>187</v>
      </c>
      <c r="C20" s="91">
        <v>0.5</v>
      </c>
      <c r="D20" s="70">
        <f>IFERROR(SUMIF(G5:G14,"Needs (50%)",C5:C14)/C15,0)</f>
        <v>0.6551724138</v>
      </c>
      <c r="E20" s="92">
        <f t="shared" ref="E20:E22" si="4">D20-C20</f>
        <v>0.1551724138</v>
      </c>
      <c r="F20" s="71" t="str">
        <f t="shared" ref="F20:F22" si="5">IF(ABS(E20)&lt;0.05,"✓ ALIGNED",IF(E20&gt;0,"↑ HIGHER","↓ LOWER"))</f>
        <v>↑ HIGHER</v>
      </c>
      <c r="G20" s="55" t="s">
        <v>188</v>
      </c>
    </row>
    <row r="21" ht="24.0" customHeight="1">
      <c r="B21" s="72" t="s">
        <v>189</v>
      </c>
      <c r="C21" s="93">
        <v>0.3</v>
      </c>
      <c r="D21" s="76">
        <f>IFERROR(SUMIF(G5:G14,"Wants (30%)",C5:C14)/C15,0)</f>
        <v>0.1825557809</v>
      </c>
      <c r="E21" s="94">
        <f t="shared" si="4"/>
        <v>-0.1174442191</v>
      </c>
      <c r="F21" s="77" t="str">
        <f t="shared" si="5"/>
        <v>↓ LOWER</v>
      </c>
      <c r="G21" s="59" t="s">
        <v>190</v>
      </c>
    </row>
    <row r="22" ht="24.0" customHeight="1">
      <c r="B22" s="66" t="s">
        <v>26</v>
      </c>
      <c r="C22" s="91">
        <v>0.2</v>
      </c>
      <c r="D22" s="70">
        <f>IFERROR(SUMIF(G5:G14,"Savings (20%)",C5:C14)/C15,0)</f>
        <v>0.1622718053</v>
      </c>
      <c r="E22" s="92">
        <f t="shared" si="4"/>
        <v>-0.03772819473</v>
      </c>
      <c r="F22" s="71" t="str">
        <f t="shared" si="5"/>
        <v>✓ ALIGNED</v>
      </c>
      <c r="G22" s="55" t="s">
        <v>191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G2"/>
    <mergeCell ref="B3:G3"/>
    <mergeCell ref="B18:G1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14.0"/>
    <col customWidth="1" min="3" max="5" width="16.0"/>
    <col customWidth="1" min="6" max="6" width="14.0"/>
    <col customWidth="1" min="7" max="8" width="16.0"/>
    <col customWidth="1" min="9" max="26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</row>
    <row r="2" ht="39.75" customHeight="1">
      <c r="B2" s="49" t="s">
        <v>192</v>
      </c>
      <c r="C2" s="3"/>
      <c r="D2" s="3"/>
      <c r="E2" s="3"/>
      <c r="F2" s="3"/>
      <c r="G2" s="3"/>
      <c r="H2" s="4"/>
    </row>
    <row r="3" ht="21.75" customHeight="1">
      <c r="B3" s="50" t="s">
        <v>193</v>
      </c>
      <c r="C3" s="3"/>
      <c r="D3" s="3"/>
      <c r="E3" s="3"/>
      <c r="F3" s="3"/>
      <c r="G3" s="3"/>
      <c r="H3" s="4"/>
    </row>
    <row r="4" ht="27.75" customHeight="1">
      <c r="B4" s="51" t="s">
        <v>23</v>
      </c>
      <c r="C4" s="51" t="s">
        <v>24</v>
      </c>
      <c r="D4" s="51" t="s">
        <v>25</v>
      </c>
      <c r="E4" s="51" t="s">
        <v>26</v>
      </c>
      <c r="F4" s="51" t="s">
        <v>194</v>
      </c>
      <c r="G4" s="51" t="s">
        <v>195</v>
      </c>
      <c r="H4" s="51" t="s">
        <v>196</v>
      </c>
    </row>
    <row r="5" ht="21.75" customHeight="1">
      <c r="B5" s="66" t="s">
        <v>197</v>
      </c>
      <c r="C5" s="67">
        <v>5800.0</v>
      </c>
      <c r="D5" s="67">
        <v>4200.0</v>
      </c>
      <c r="E5" s="95">
        <f t="shared" ref="E5:E14" si="1">C5-D5</f>
        <v>1600</v>
      </c>
      <c r="F5" s="96">
        <f t="shared" ref="F5:F15" si="2">IFERROR(E5/C5,0)</f>
        <v>0.275862069</v>
      </c>
      <c r="G5" s="68">
        <f>E5</f>
        <v>1600</v>
      </c>
      <c r="H5" s="97">
        <f>12500+E5</f>
        <v>14100</v>
      </c>
    </row>
    <row r="6" ht="21.75" customHeight="1">
      <c r="B6" s="72" t="s">
        <v>198</v>
      </c>
      <c r="C6" s="73">
        <v>5800.0</v>
      </c>
      <c r="D6" s="73">
        <v>4450.0</v>
      </c>
      <c r="E6" s="98">
        <f t="shared" si="1"/>
        <v>1350</v>
      </c>
      <c r="F6" s="99">
        <f t="shared" si="2"/>
        <v>0.2327586207</v>
      </c>
      <c r="G6" s="74">
        <f t="shared" ref="G6:G14" si="3">G5+E6</f>
        <v>2950</v>
      </c>
      <c r="H6" s="100">
        <f t="shared" ref="H6:H14" si="4">H5+E6</f>
        <v>15450</v>
      </c>
    </row>
    <row r="7" ht="21.75" customHeight="1">
      <c r="B7" s="66" t="s">
        <v>199</v>
      </c>
      <c r="C7" s="67">
        <v>6100.0</v>
      </c>
      <c r="D7" s="67">
        <v>4380.0</v>
      </c>
      <c r="E7" s="95">
        <f t="shared" si="1"/>
        <v>1720</v>
      </c>
      <c r="F7" s="96">
        <f t="shared" si="2"/>
        <v>0.2819672131</v>
      </c>
      <c r="G7" s="68">
        <f t="shared" si="3"/>
        <v>4670</v>
      </c>
      <c r="H7" s="97">
        <f t="shared" si="4"/>
        <v>17170</v>
      </c>
    </row>
    <row r="8" ht="21.75" customHeight="1">
      <c r="B8" s="72" t="s">
        <v>200</v>
      </c>
      <c r="C8" s="73">
        <v>5800.0</v>
      </c>
      <c r="D8" s="73">
        <v>4720.0</v>
      </c>
      <c r="E8" s="98">
        <f t="shared" si="1"/>
        <v>1080</v>
      </c>
      <c r="F8" s="99">
        <f t="shared" si="2"/>
        <v>0.1862068966</v>
      </c>
      <c r="G8" s="74">
        <f t="shared" si="3"/>
        <v>5750</v>
      </c>
      <c r="H8" s="100">
        <f t="shared" si="4"/>
        <v>18250</v>
      </c>
    </row>
    <row r="9" ht="21.75" customHeight="1">
      <c r="B9" s="66" t="s">
        <v>201</v>
      </c>
      <c r="C9" s="67">
        <v>6300.0</v>
      </c>
      <c r="D9" s="67">
        <v>4890.0</v>
      </c>
      <c r="E9" s="95">
        <f t="shared" si="1"/>
        <v>1410</v>
      </c>
      <c r="F9" s="96">
        <f t="shared" si="2"/>
        <v>0.2238095238</v>
      </c>
      <c r="G9" s="68">
        <f t="shared" si="3"/>
        <v>7160</v>
      </c>
      <c r="H9" s="97">
        <f t="shared" si="4"/>
        <v>19660</v>
      </c>
    </row>
    <row r="10" ht="21.75" customHeight="1">
      <c r="B10" s="72" t="s">
        <v>202</v>
      </c>
      <c r="C10" s="73">
        <v>6800.0</v>
      </c>
      <c r="D10" s="73">
        <v>5410.0</v>
      </c>
      <c r="E10" s="98">
        <f t="shared" si="1"/>
        <v>1390</v>
      </c>
      <c r="F10" s="99">
        <f t="shared" si="2"/>
        <v>0.2044117647</v>
      </c>
      <c r="G10" s="74">
        <f t="shared" si="3"/>
        <v>8550</v>
      </c>
      <c r="H10" s="100">
        <f t="shared" si="4"/>
        <v>21050</v>
      </c>
    </row>
    <row r="11" ht="21.75" customHeight="1">
      <c r="B11" s="66" t="s">
        <v>203</v>
      </c>
      <c r="C11" s="67">
        <v>5900.0</v>
      </c>
      <c r="D11" s="67">
        <v>4350.0</v>
      </c>
      <c r="E11" s="95">
        <f t="shared" si="1"/>
        <v>1550</v>
      </c>
      <c r="F11" s="96">
        <f t="shared" si="2"/>
        <v>0.2627118644</v>
      </c>
      <c r="G11" s="68">
        <f t="shared" si="3"/>
        <v>10100</v>
      </c>
      <c r="H11" s="97">
        <f t="shared" si="4"/>
        <v>22600</v>
      </c>
    </row>
    <row r="12" ht="21.75" customHeight="1">
      <c r="B12" s="72" t="s">
        <v>204</v>
      </c>
      <c r="C12" s="73">
        <v>6050.0</v>
      </c>
      <c r="D12" s="73">
        <v>4180.0</v>
      </c>
      <c r="E12" s="98">
        <f t="shared" si="1"/>
        <v>1870</v>
      </c>
      <c r="F12" s="99">
        <f t="shared" si="2"/>
        <v>0.3090909091</v>
      </c>
      <c r="G12" s="74">
        <f t="shared" si="3"/>
        <v>11970</v>
      </c>
      <c r="H12" s="100">
        <f t="shared" si="4"/>
        <v>24470</v>
      </c>
    </row>
    <row r="13" ht="21.75" customHeight="1">
      <c r="B13" s="66" t="s">
        <v>205</v>
      </c>
      <c r="C13" s="67">
        <v>6200.0</v>
      </c>
      <c r="D13" s="67">
        <v>4520.0</v>
      </c>
      <c r="E13" s="95">
        <f t="shared" si="1"/>
        <v>1680</v>
      </c>
      <c r="F13" s="96">
        <f t="shared" si="2"/>
        <v>0.2709677419</v>
      </c>
      <c r="G13" s="68">
        <f t="shared" si="3"/>
        <v>13650</v>
      </c>
      <c r="H13" s="97">
        <f t="shared" si="4"/>
        <v>26150</v>
      </c>
    </row>
    <row r="14" ht="21.75" customHeight="1">
      <c r="B14" s="72" t="s">
        <v>206</v>
      </c>
      <c r="C14" s="73">
        <v>7335.0</v>
      </c>
      <c r="D14" s="73">
        <v>4150.0</v>
      </c>
      <c r="E14" s="98">
        <f t="shared" si="1"/>
        <v>3185</v>
      </c>
      <c r="F14" s="99">
        <f t="shared" si="2"/>
        <v>0.4342194956</v>
      </c>
      <c r="G14" s="74">
        <f t="shared" si="3"/>
        <v>16835</v>
      </c>
      <c r="H14" s="100">
        <f t="shared" si="4"/>
        <v>29335</v>
      </c>
    </row>
    <row r="15" ht="27.75" customHeight="1">
      <c r="B15" s="78" t="s">
        <v>207</v>
      </c>
      <c r="C15" s="79">
        <f t="shared" ref="C15:E15" si="5">SUM(C5:C14)</f>
        <v>62085</v>
      </c>
      <c r="D15" s="79">
        <f t="shared" si="5"/>
        <v>45250</v>
      </c>
      <c r="E15" s="79">
        <f t="shared" si="5"/>
        <v>16835</v>
      </c>
      <c r="F15" s="80">
        <f t="shared" si="2"/>
        <v>0.2711605058</v>
      </c>
      <c r="G15" s="79">
        <f t="shared" ref="G15:H15" si="6">G14</f>
        <v>16835</v>
      </c>
      <c r="H15" s="79">
        <f t="shared" si="6"/>
        <v>29335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H2"/>
    <mergeCell ref="B3:H3"/>
  </mergeCells>
  <conditionalFormatting sqref="E5:E1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rintOptions/>
  <pageMargins bottom="1.0" footer="0.0" header="0.0" left="0.75" right="0.75" top="1.0"/>
  <pageSetup paperSize="9" orientation="portrait"/>
  <drawing r:id="rId1"/>
</worksheet>
</file>